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ON DAS\OneDrive\Research File\"/>
    </mc:Choice>
  </mc:AlternateContent>
  <xr:revisionPtr revIDLastSave="0" documentId="13_ncr:1_{E2F60A31-223E-4970-8817-924F3BD2AD59}" xr6:coauthVersionLast="47" xr6:coauthVersionMax="47" xr10:uidLastSave="{00000000-0000-0000-0000-000000000000}"/>
  <bookViews>
    <workbookView xWindow="-110" yWindow="-110" windowWidth="19420" windowHeight="10300" firstSheet="2" activeTab="8" xr2:uid="{BCDFD777-E8AF-4099-9F3D-9942E542F1B9}"/>
  </bookViews>
  <sheets>
    <sheet name="Data" sheetId="1" r:id="rId1"/>
    <sheet name="TMEAN SD" sheetId="2" r:id="rId2"/>
    <sheet name="TX MEAN SD" sheetId="3" r:id="rId3"/>
    <sheet name="TN MEAN SD" sheetId="4" r:id="rId4"/>
    <sheet name="PRCP MEAN SD" sheetId="5" r:id="rId5"/>
    <sheet name="Summer" sheetId="7" r:id="rId6"/>
    <sheet name="Monsoon" sheetId="8" r:id="rId7"/>
    <sheet name="Winter" sheetId="9" r:id="rId8"/>
    <sheet name="LR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5" l="1"/>
  <c r="N8" i="5"/>
  <c r="N7" i="5"/>
  <c r="N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2" i="5"/>
  <c r="N4" i="5"/>
  <c r="N9" i="4"/>
  <c r="N8" i="4"/>
  <c r="N7" i="4"/>
  <c r="N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2" i="4"/>
  <c r="N4" i="4"/>
  <c r="N9" i="3"/>
  <c r="N9" i="2"/>
  <c r="N8" i="3"/>
  <c r="N7" i="3"/>
  <c r="N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2" i="3"/>
  <c r="N4" i="3"/>
  <c r="N8" i="2"/>
  <c r="N7" i="2"/>
  <c r="N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2" i="2"/>
  <c r="N4" i="2"/>
</calcChain>
</file>

<file path=xl/sharedStrings.xml><?xml version="1.0" encoding="utf-8"?>
<sst xmlns="http://schemas.openxmlformats.org/spreadsheetml/2006/main" count="64" uniqueCount="23">
  <si>
    <t>YEAR</t>
  </si>
  <si>
    <t>MEAN</t>
  </si>
  <si>
    <t>MD</t>
  </si>
  <si>
    <t>MD^2</t>
  </si>
  <si>
    <t>TOTAL MD^2</t>
  </si>
  <si>
    <t>VARIANCE</t>
  </si>
  <si>
    <t>SD</t>
  </si>
  <si>
    <t>Coefficient of Variance (%)</t>
  </si>
  <si>
    <t>YEARLY T-MEAN</t>
  </si>
  <si>
    <t>YEARLY TN-MEAN</t>
  </si>
  <si>
    <t>YEARLY TX-MEAN</t>
  </si>
  <si>
    <t>YEARLY PRCP-MEAN</t>
  </si>
  <si>
    <t>Year</t>
  </si>
  <si>
    <t xml:space="preserve"> Yearly T-Mean</t>
  </si>
  <si>
    <t>Yearly TN Mean</t>
  </si>
  <si>
    <t>Yearly TX Mean</t>
  </si>
  <si>
    <t>Yealy PRCP Mean</t>
  </si>
  <si>
    <t>R^2</t>
  </si>
  <si>
    <t>MAE</t>
  </si>
  <si>
    <t>MSE</t>
  </si>
  <si>
    <t>RMSE</t>
  </si>
  <si>
    <t>Yearly T-Mean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</si>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</sst>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1" applyNumberFormat="1" applyFont="1" applyFill="1" applyBorder="1"/>
    <xf numFmtId="0" fontId="0" fillId="6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AC31-B055-48F2-921F-E9F7579F3E7E}">
  <dimension ref="A1:E34"/>
  <sheetViews>
    <sheetView workbookViewId="0"/>
  </sheetViews>
  <sheetFormatPr defaultRowHeight="14.5" x14ac:dyDescent="0.35"/>
  <cols>
    <col min="1" max="1" width="6.36328125" bestFit="1" customWidth="1"/>
    <col min="2" max="2" width="17.36328125" bestFit="1" customWidth="1"/>
    <col min="3" max="3" width="18.81640625" bestFit="1" customWidth="1"/>
    <col min="4" max="4" width="18.7265625" bestFit="1" customWidth="1"/>
    <col min="5" max="5" width="21.7265625" bestFit="1" customWidth="1"/>
  </cols>
  <sheetData>
    <row r="1" spans="1:5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5">
      <c r="A2" s="2">
        <v>1990</v>
      </c>
      <c r="B2" s="3">
        <v>24.766144000000001</v>
      </c>
      <c r="C2" s="3">
        <v>19.371168999999998</v>
      </c>
      <c r="D2" s="3">
        <v>31.358516999999999</v>
      </c>
      <c r="E2" s="3">
        <v>1.8345210000000001</v>
      </c>
    </row>
    <row r="3" spans="1:5" x14ac:dyDescent="0.35">
      <c r="A3" s="2">
        <v>1991</v>
      </c>
      <c r="B3" s="3">
        <v>24.784295</v>
      </c>
      <c r="C3" s="3">
        <v>19.15869</v>
      </c>
      <c r="D3" s="3">
        <v>31.948347999999999</v>
      </c>
      <c r="E3" s="3">
        <v>1.676712</v>
      </c>
    </row>
    <row r="4" spans="1:5" x14ac:dyDescent="0.35">
      <c r="A4" s="2">
        <v>1992</v>
      </c>
      <c r="B4" s="3">
        <v>24.205199</v>
      </c>
      <c r="C4" s="3">
        <v>17.696598000000002</v>
      </c>
      <c r="D4" s="3">
        <v>30.905078</v>
      </c>
      <c r="E4" s="3">
        <v>0.95355199999999996</v>
      </c>
    </row>
    <row r="5" spans="1:5" x14ac:dyDescent="0.35">
      <c r="A5" s="2">
        <v>1993</v>
      </c>
      <c r="B5" s="3">
        <v>24.825185999999999</v>
      </c>
      <c r="C5" s="3">
        <v>18.510529999999999</v>
      </c>
      <c r="D5" s="3">
        <v>31.536888999999999</v>
      </c>
      <c r="E5" s="3">
        <v>2.17726</v>
      </c>
    </row>
    <row r="6" spans="1:5" x14ac:dyDescent="0.35">
      <c r="A6" s="2">
        <v>1994</v>
      </c>
      <c r="B6" s="3">
        <v>24.697220999999999</v>
      </c>
      <c r="C6" s="3">
        <v>18.609311000000002</v>
      </c>
      <c r="D6" s="3">
        <v>31.254439999999999</v>
      </c>
      <c r="E6" s="3">
        <v>2.4509590000000001</v>
      </c>
    </row>
    <row r="7" spans="1:5" x14ac:dyDescent="0.35">
      <c r="A7" s="2">
        <v>1995</v>
      </c>
      <c r="B7" s="3">
        <v>24.965744000000001</v>
      </c>
      <c r="C7" s="3">
        <v>18.822590000000002</v>
      </c>
      <c r="D7" s="3">
        <v>31.252039</v>
      </c>
      <c r="E7" s="3">
        <v>2.25726</v>
      </c>
    </row>
    <row r="8" spans="1:5" x14ac:dyDescent="0.35">
      <c r="A8" s="2">
        <v>1996</v>
      </c>
      <c r="B8" s="3">
        <v>24.320765000000002</v>
      </c>
      <c r="C8" s="3">
        <v>18.085425999999998</v>
      </c>
      <c r="D8" s="3">
        <v>31.083815000000001</v>
      </c>
      <c r="E8" s="3">
        <v>2.7245900000000001</v>
      </c>
    </row>
    <row r="9" spans="1:5" x14ac:dyDescent="0.35">
      <c r="A9" s="2">
        <v>1997</v>
      </c>
      <c r="B9" s="3">
        <v>23.587122999999998</v>
      </c>
      <c r="C9" s="3">
        <v>17.980689999999999</v>
      </c>
      <c r="D9" s="3">
        <v>29.901515</v>
      </c>
      <c r="E9" s="3">
        <v>1.2684930000000001</v>
      </c>
    </row>
    <row r="10" spans="1:5" x14ac:dyDescent="0.35">
      <c r="A10" s="2">
        <v>1998</v>
      </c>
      <c r="B10" s="3">
        <v>24.534521000000002</v>
      </c>
      <c r="C10" s="3">
        <v>18.844771999999999</v>
      </c>
      <c r="D10" s="3">
        <v>31.056003</v>
      </c>
      <c r="E10" s="3">
        <v>2.2756159999999999</v>
      </c>
    </row>
    <row r="11" spans="1:5" x14ac:dyDescent="0.35">
      <c r="A11" s="2">
        <v>1999</v>
      </c>
      <c r="B11" s="3">
        <v>24.974216999999999</v>
      </c>
      <c r="C11" s="3">
        <v>18.879895999999999</v>
      </c>
      <c r="D11" s="3">
        <v>31.872957</v>
      </c>
      <c r="E11" s="3">
        <v>0.78986299999999998</v>
      </c>
    </row>
    <row r="12" spans="1:5" x14ac:dyDescent="0.35">
      <c r="A12" s="2">
        <v>2000</v>
      </c>
      <c r="B12" s="3">
        <v>24.769672</v>
      </c>
      <c r="C12" s="3">
        <v>18.659309</v>
      </c>
      <c r="D12" s="3">
        <v>31.396657000000001</v>
      </c>
      <c r="E12" s="3">
        <v>1.484426</v>
      </c>
    </row>
    <row r="13" spans="1:5" x14ac:dyDescent="0.35">
      <c r="A13" s="2">
        <v>2001</v>
      </c>
      <c r="B13" s="3">
        <v>24.525469999999999</v>
      </c>
      <c r="C13" s="3">
        <v>18.493812999999999</v>
      </c>
      <c r="D13" s="3">
        <v>31.440645</v>
      </c>
      <c r="E13" s="3">
        <v>1.122466</v>
      </c>
    </row>
    <row r="14" spans="1:5" x14ac:dyDescent="0.35">
      <c r="A14" s="2">
        <v>2002</v>
      </c>
      <c r="B14" s="3">
        <v>25.328482999999999</v>
      </c>
      <c r="C14" s="3">
        <v>19.240487999999999</v>
      </c>
      <c r="D14" s="3">
        <v>32.202530000000003</v>
      </c>
      <c r="E14" s="3">
        <v>1.443562</v>
      </c>
    </row>
    <row r="15" spans="1:5" x14ac:dyDescent="0.35">
      <c r="A15" s="2">
        <v>2003</v>
      </c>
      <c r="B15" s="3">
        <v>24.373698999999998</v>
      </c>
      <c r="C15" s="3">
        <v>18.669826</v>
      </c>
      <c r="D15" s="3">
        <v>30.907686999999999</v>
      </c>
      <c r="E15" s="3">
        <v>2.6320549999999998</v>
      </c>
    </row>
    <row r="16" spans="1:5" x14ac:dyDescent="0.35">
      <c r="A16" s="2">
        <v>2004</v>
      </c>
      <c r="B16" s="3">
        <v>25.155463999999998</v>
      </c>
      <c r="C16" s="3">
        <v>19.018218000000001</v>
      </c>
      <c r="D16" s="3">
        <v>31.762311</v>
      </c>
      <c r="E16" s="3">
        <v>1.34918</v>
      </c>
    </row>
    <row r="17" spans="1:5" x14ac:dyDescent="0.35">
      <c r="A17" s="2">
        <v>2005</v>
      </c>
      <c r="B17" s="3">
        <v>24.754521</v>
      </c>
      <c r="C17" s="3">
        <v>18.588353999999999</v>
      </c>
      <c r="D17" s="3">
        <v>31.667960999999998</v>
      </c>
      <c r="E17" s="3">
        <v>1.5830139999999999</v>
      </c>
    </row>
    <row r="18" spans="1:5" x14ac:dyDescent="0.35">
      <c r="A18" s="2">
        <v>2006</v>
      </c>
      <c r="B18" s="3">
        <v>25.420548</v>
      </c>
      <c r="C18" s="3">
        <v>18.964182999999998</v>
      </c>
      <c r="D18" s="3">
        <v>32.283884</v>
      </c>
      <c r="E18" s="3">
        <v>1.3295889999999999</v>
      </c>
    </row>
    <row r="19" spans="1:5" x14ac:dyDescent="0.35">
      <c r="A19" s="2">
        <v>2007</v>
      </c>
      <c r="B19" s="3">
        <v>24.830959</v>
      </c>
      <c r="C19" s="3">
        <v>18.816921000000001</v>
      </c>
      <c r="D19" s="3">
        <v>31.649815</v>
      </c>
      <c r="E19" s="3">
        <v>1.324384</v>
      </c>
    </row>
    <row r="20" spans="1:5" x14ac:dyDescent="0.35">
      <c r="A20" s="2">
        <v>2008</v>
      </c>
      <c r="B20" s="3">
        <v>24.551912999999999</v>
      </c>
      <c r="C20" s="3">
        <v>18.722010000000001</v>
      </c>
      <c r="D20" s="3">
        <v>31.523883000000001</v>
      </c>
      <c r="E20" s="3">
        <v>2.0754100000000002</v>
      </c>
    </row>
    <row r="21" spans="1:5" x14ac:dyDescent="0.35">
      <c r="A21" s="2">
        <v>2009</v>
      </c>
      <c r="B21" s="3">
        <v>25.403013999999999</v>
      </c>
      <c r="C21" s="3">
        <v>19.268198000000002</v>
      </c>
      <c r="D21" s="3">
        <v>32.466349999999998</v>
      </c>
      <c r="E21" s="3">
        <v>1.235616</v>
      </c>
    </row>
    <row r="22" spans="1:5" x14ac:dyDescent="0.35">
      <c r="A22" s="2">
        <v>2010</v>
      </c>
      <c r="B22" s="3">
        <v>25.597788999999999</v>
      </c>
      <c r="C22" s="3">
        <v>19.94585</v>
      </c>
      <c r="D22" s="3">
        <v>32.221628000000003</v>
      </c>
      <c r="E22" s="3">
        <v>2.402466</v>
      </c>
    </row>
    <row r="23" spans="1:5" x14ac:dyDescent="0.35">
      <c r="A23" s="2">
        <v>2011</v>
      </c>
      <c r="B23" s="3">
        <v>24.755890000000001</v>
      </c>
      <c r="C23" s="3">
        <v>18.876629999999999</v>
      </c>
      <c r="D23" s="3">
        <v>31.67755</v>
      </c>
      <c r="E23" s="3">
        <v>1.4531510000000001</v>
      </c>
    </row>
    <row r="24" spans="1:5" x14ac:dyDescent="0.35">
      <c r="A24" s="2">
        <v>2012</v>
      </c>
      <c r="B24" s="3">
        <v>24.933879999999998</v>
      </c>
      <c r="C24" s="3">
        <v>18.894235999999999</v>
      </c>
      <c r="D24" s="3">
        <v>31.963564999999999</v>
      </c>
      <c r="E24" s="3">
        <v>1.512022</v>
      </c>
    </row>
    <row r="25" spans="1:5" x14ac:dyDescent="0.35">
      <c r="A25" s="2">
        <v>2013</v>
      </c>
      <c r="B25" s="3">
        <v>24.856985999999999</v>
      </c>
      <c r="C25" s="3">
        <v>18.718765000000001</v>
      </c>
      <c r="D25" s="3">
        <v>31.743400000000001</v>
      </c>
      <c r="E25" s="3">
        <v>2.7120549999999999</v>
      </c>
    </row>
    <row r="26" spans="1:5" x14ac:dyDescent="0.35">
      <c r="A26" s="2">
        <v>2014</v>
      </c>
      <c r="B26" s="3">
        <v>24.944109999999998</v>
      </c>
      <c r="C26" s="3">
        <v>18.686827999999998</v>
      </c>
      <c r="D26" s="3">
        <v>31.991893999999998</v>
      </c>
      <c r="E26" s="3">
        <v>0.70027399999999995</v>
      </c>
    </row>
    <row r="27" spans="1:5" x14ac:dyDescent="0.35">
      <c r="A27" s="2">
        <v>2015</v>
      </c>
      <c r="B27" s="3">
        <v>25.242466</v>
      </c>
      <c r="C27" s="3">
        <v>19.031725999999999</v>
      </c>
      <c r="D27" s="3">
        <v>31.974955999999999</v>
      </c>
      <c r="E27" s="3">
        <v>1.975616</v>
      </c>
    </row>
    <row r="28" spans="1:5" x14ac:dyDescent="0.35">
      <c r="A28" s="2">
        <v>2016</v>
      </c>
      <c r="B28" s="3">
        <v>26.864481000000001</v>
      </c>
      <c r="C28" s="3">
        <v>19.847083999999999</v>
      </c>
      <c r="D28" s="3">
        <v>33.457039999999999</v>
      </c>
      <c r="E28" s="3">
        <v>1.251093</v>
      </c>
    </row>
    <row r="29" spans="1:5" x14ac:dyDescent="0.35">
      <c r="A29" s="2">
        <v>2017</v>
      </c>
      <c r="B29" s="3">
        <v>26.100822000000001</v>
      </c>
      <c r="C29" s="3">
        <v>19.450500999999999</v>
      </c>
      <c r="D29" s="3">
        <v>33.172232000000001</v>
      </c>
      <c r="E29" s="3">
        <v>1.4863010000000001</v>
      </c>
    </row>
    <row r="30" spans="1:5" x14ac:dyDescent="0.35">
      <c r="A30" s="2">
        <v>2018</v>
      </c>
      <c r="B30" s="3">
        <v>25.499452000000002</v>
      </c>
      <c r="C30" s="3">
        <v>19.101672000000001</v>
      </c>
      <c r="D30" s="3">
        <v>32.896374000000002</v>
      </c>
      <c r="E30" s="3">
        <v>2.085753</v>
      </c>
    </row>
    <row r="31" spans="1:5" x14ac:dyDescent="0.35">
      <c r="A31" s="2">
        <v>2019</v>
      </c>
      <c r="B31" s="3">
        <v>25.592877000000001</v>
      </c>
      <c r="C31" s="3">
        <v>19.02</v>
      </c>
      <c r="D31" s="3">
        <v>31.954795000000001</v>
      </c>
      <c r="E31" s="3">
        <v>1.492877</v>
      </c>
    </row>
    <row r="32" spans="1:5" x14ac:dyDescent="0.35">
      <c r="A32" s="2">
        <v>2020</v>
      </c>
      <c r="B32" s="3">
        <v>24.910108999999999</v>
      </c>
      <c r="C32" s="3">
        <v>18.090983999999999</v>
      </c>
      <c r="D32" s="3">
        <v>31.992622999999998</v>
      </c>
      <c r="E32" s="3">
        <v>2.1562839999999999</v>
      </c>
    </row>
    <row r="33" spans="1:5" x14ac:dyDescent="0.35">
      <c r="A33" s="2">
        <v>2021</v>
      </c>
      <c r="B33" s="3">
        <v>25.070958999999998</v>
      </c>
      <c r="C33" s="3">
        <v>19.163288000000001</v>
      </c>
      <c r="D33" s="3">
        <v>31.894521000000001</v>
      </c>
      <c r="E33" s="3">
        <v>3.4339729999999999</v>
      </c>
    </row>
    <row r="34" spans="1:5" x14ac:dyDescent="0.35">
      <c r="A34" s="2">
        <v>2022</v>
      </c>
      <c r="B34" s="3">
        <v>26.311164999999999</v>
      </c>
      <c r="C34" s="3">
        <v>20.399515000000001</v>
      </c>
      <c r="D34" s="3">
        <v>33.227184000000001</v>
      </c>
      <c r="E34" s="3">
        <v>1.8592230000000001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1451-6A25-478C-956A-CC43A9A440F3}">
  <dimension ref="A1:N34"/>
  <sheetViews>
    <sheetView workbookViewId="0"/>
  </sheetViews>
  <sheetFormatPr defaultRowHeight="14.5" x14ac:dyDescent="0.35"/>
  <cols>
    <col min="1" max="1" width="6.36328125" bestFit="1" customWidth="1"/>
    <col min="2" max="2" width="17.36328125" bestFit="1" customWidth="1"/>
    <col min="3" max="3" width="12.453125" bestFit="1" customWidth="1"/>
    <col min="4" max="4" width="11.81640625" bestFit="1" customWidth="1"/>
    <col min="13" max="13" width="23" bestFit="1" customWidth="1"/>
    <col min="14" max="14" width="11.81640625" bestFit="1" customWidth="1"/>
  </cols>
  <sheetData>
    <row r="1" spans="1:14" x14ac:dyDescent="0.35">
      <c r="A1" s="9" t="s">
        <v>0</v>
      </c>
      <c r="B1" s="9" t="s">
        <v>8</v>
      </c>
      <c r="C1" s="13" t="s">
        <v>2</v>
      </c>
      <c r="D1" s="13" t="s">
        <v>3</v>
      </c>
    </row>
    <row r="2" spans="1:14" x14ac:dyDescent="0.35">
      <c r="A2" s="6">
        <v>1990</v>
      </c>
      <c r="B2" s="7">
        <v>24.766144000000001</v>
      </c>
      <c r="C2" s="8">
        <f>B2-$N$4</f>
        <v>-0.2476482424242441</v>
      </c>
      <c r="D2" s="8">
        <f>C2^2</f>
        <v>6.1329651975817176E-2</v>
      </c>
    </row>
    <row r="3" spans="1:14" x14ac:dyDescent="0.35">
      <c r="A3" s="6">
        <v>1991</v>
      </c>
      <c r="B3" s="7">
        <v>24.784295</v>
      </c>
      <c r="C3" s="8">
        <f t="shared" ref="C3:C34" si="0">B3-$N$4</f>
        <v>-0.22949724242424452</v>
      </c>
      <c r="D3" s="8">
        <f t="shared" ref="D3:D34" si="1">C3^2</f>
        <v>5.2668984280332461E-2</v>
      </c>
    </row>
    <row r="4" spans="1:14" x14ac:dyDescent="0.35">
      <c r="A4" s="6">
        <v>1992</v>
      </c>
      <c r="B4" s="7">
        <v>24.205199</v>
      </c>
      <c r="C4" s="8">
        <f t="shared" si="0"/>
        <v>-0.80859324242424435</v>
      </c>
      <c r="D4" s="8">
        <f t="shared" si="1"/>
        <v>0.65382303169415279</v>
      </c>
      <c r="M4" s="5" t="s">
        <v>1</v>
      </c>
      <c r="N4" s="10">
        <f>SUM(B2:B34)/COUNT(B2:B34)</f>
        <v>25.013792242424245</v>
      </c>
    </row>
    <row r="5" spans="1:14" x14ac:dyDescent="0.35">
      <c r="A5" s="6">
        <v>1993</v>
      </c>
      <c r="B5" s="7">
        <v>24.825185999999999</v>
      </c>
      <c r="C5" s="8">
        <f t="shared" si="0"/>
        <v>-0.18860624242424606</v>
      </c>
      <c r="D5" s="8">
        <f t="shared" si="1"/>
        <v>3.5572314681393477E-2</v>
      </c>
      <c r="M5" s="5" t="s">
        <v>4</v>
      </c>
      <c r="N5" s="10">
        <f>SUM(D2:D34)</f>
        <v>12.481427329432073</v>
      </c>
    </row>
    <row r="6" spans="1:14" x14ac:dyDescent="0.35">
      <c r="A6" s="6">
        <v>1994</v>
      </c>
      <c r="B6" s="7">
        <v>24.697220999999999</v>
      </c>
      <c r="C6" s="8">
        <f t="shared" si="0"/>
        <v>-0.31657124242424572</v>
      </c>
      <c r="D6" s="8">
        <f t="shared" si="1"/>
        <v>0.10021735153003056</v>
      </c>
      <c r="M6" s="4"/>
    </row>
    <row r="7" spans="1:14" x14ac:dyDescent="0.35">
      <c r="A7" s="6">
        <v>1995</v>
      </c>
      <c r="B7" s="7">
        <v>24.965744000000001</v>
      </c>
      <c r="C7" s="8">
        <f t="shared" si="0"/>
        <v>-4.8048242424243881E-2</v>
      </c>
      <c r="D7" s="8">
        <f t="shared" si="1"/>
        <v>2.3086336000589097E-3</v>
      </c>
      <c r="M7" s="5" t="s">
        <v>5</v>
      </c>
      <c r="N7" s="10">
        <f>N5/COUNT(D2:D34)</f>
        <v>0.37822507058885069</v>
      </c>
    </row>
    <row r="8" spans="1:14" x14ac:dyDescent="0.35">
      <c r="A8" s="6">
        <v>1996</v>
      </c>
      <c r="B8" s="7">
        <v>24.320765000000002</v>
      </c>
      <c r="C8" s="8">
        <f t="shared" si="0"/>
        <v>-0.69302724242424318</v>
      </c>
      <c r="D8" s="8">
        <f t="shared" si="1"/>
        <v>0.48028675874215071</v>
      </c>
      <c r="M8" s="5" t="s">
        <v>6</v>
      </c>
      <c r="N8" s="10">
        <f>SQRT(N7)</f>
        <v>0.61500005738930685</v>
      </c>
    </row>
    <row r="9" spans="1:14" x14ac:dyDescent="0.35">
      <c r="A9" s="6">
        <v>1997</v>
      </c>
      <c r="B9" s="7">
        <v>23.587122999999998</v>
      </c>
      <c r="C9" s="8">
        <f t="shared" si="0"/>
        <v>-1.4266692424242464</v>
      </c>
      <c r="D9" s="8">
        <f t="shared" si="1"/>
        <v>2.035385127279373</v>
      </c>
      <c r="M9" s="5" t="s">
        <v>7</v>
      </c>
      <c r="N9" s="11">
        <f>(N8/N4)*100</f>
        <v>2.458643821092612</v>
      </c>
    </row>
    <row r="10" spans="1:14" x14ac:dyDescent="0.35">
      <c r="A10" s="6">
        <v>1998</v>
      </c>
      <c r="B10" s="7">
        <v>24.534521000000002</v>
      </c>
      <c r="C10" s="8">
        <f t="shared" si="0"/>
        <v>-0.47927124242424313</v>
      </c>
      <c r="D10" s="8">
        <f t="shared" si="1"/>
        <v>0.22970092381487761</v>
      </c>
    </row>
    <row r="11" spans="1:14" x14ac:dyDescent="0.35">
      <c r="A11" s="6">
        <v>1999</v>
      </c>
      <c r="B11" s="7">
        <v>24.974216999999999</v>
      </c>
      <c r="C11" s="8">
        <f t="shared" si="0"/>
        <v>-3.9575242424245261E-2</v>
      </c>
      <c r="D11" s="8">
        <f t="shared" si="1"/>
        <v>1.5661998129377819E-3</v>
      </c>
    </row>
    <row r="12" spans="1:14" x14ac:dyDescent="0.35">
      <c r="A12" s="6">
        <v>2000</v>
      </c>
      <c r="B12" s="7">
        <v>24.769672</v>
      </c>
      <c r="C12" s="8">
        <f t="shared" si="0"/>
        <v>-0.24412024242424479</v>
      </c>
      <c r="D12" s="8">
        <f t="shared" si="1"/>
        <v>5.959469276127205E-2</v>
      </c>
    </row>
    <row r="13" spans="1:14" x14ac:dyDescent="0.35">
      <c r="A13" s="6">
        <v>2001</v>
      </c>
      <c r="B13" s="7">
        <v>24.525469999999999</v>
      </c>
      <c r="C13" s="8">
        <f t="shared" si="0"/>
        <v>-0.48832224242424616</v>
      </c>
      <c r="D13" s="8">
        <f t="shared" si="1"/>
        <v>0.23845861244624422</v>
      </c>
    </row>
    <row r="14" spans="1:14" x14ac:dyDescent="0.35">
      <c r="A14" s="6">
        <v>2002</v>
      </c>
      <c r="B14" s="7">
        <v>25.328482999999999</v>
      </c>
      <c r="C14" s="8">
        <f t="shared" si="0"/>
        <v>0.31469075757575382</v>
      </c>
      <c r="D14" s="8">
        <f t="shared" si="1"/>
        <v>9.9030272903601863E-2</v>
      </c>
    </row>
    <row r="15" spans="1:14" x14ac:dyDescent="0.35">
      <c r="A15" s="6">
        <v>2003</v>
      </c>
      <c r="B15" s="7">
        <v>24.373698999999998</v>
      </c>
      <c r="C15" s="8">
        <f t="shared" si="0"/>
        <v>-0.64009324242424626</v>
      </c>
      <c r="D15" s="8">
        <f t="shared" si="1"/>
        <v>0.40971935899718487</v>
      </c>
    </row>
    <row r="16" spans="1:14" x14ac:dyDescent="0.35">
      <c r="A16" s="6">
        <v>2004</v>
      </c>
      <c r="B16" s="7">
        <v>25.155463999999998</v>
      </c>
      <c r="C16" s="8">
        <f t="shared" si="0"/>
        <v>0.14167175757575379</v>
      </c>
      <c r="D16" s="8">
        <f t="shared" si="1"/>
        <v>2.0070886894603152E-2</v>
      </c>
    </row>
    <row r="17" spans="1:4" x14ac:dyDescent="0.35">
      <c r="A17" s="6">
        <v>2005</v>
      </c>
      <c r="B17" s="7">
        <v>24.754521</v>
      </c>
      <c r="C17" s="8">
        <f t="shared" si="0"/>
        <v>-0.25927124242424426</v>
      </c>
      <c r="D17" s="8">
        <f t="shared" si="1"/>
        <v>6.722157714821124E-2</v>
      </c>
    </row>
    <row r="18" spans="1:4" x14ac:dyDescent="0.35">
      <c r="A18" s="6">
        <v>2006</v>
      </c>
      <c r="B18" s="7">
        <v>25.420548</v>
      </c>
      <c r="C18" s="8">
        <f t="shared" si="0"/>
        <v>0.40675575757575544</v>
      </c>
      <c r="D18" s="8">
        <f t="shared" si="1"/>
        <v>0.16545024632102673</v>
      </c>
    </row>
    <row r="19" spans="1:4" x14ac:dyDescent="0.35">
      <c r="A19" s="6">
        <v>2007</v>
      </c>
      <c r="B19" s="7">
        <v>24.830959</v>
      </c>
      <c r="C19" s="8">
        <f t="shared" si="0"/>
        <v>-0.1828332424242447</v>
      </c>
      <c r="D19" s="8">
        <f t="shared" si="1"/>
        <v>3.3427994535362632E-2</v>
      </c>
    </row>
    <row r="20" spans="1:4" x14ac:dyDescent="0.35">
      <c r="A20" s="6">
        <v>2008</v>
      </c>
      <c r="B20" s="7">
        <v>24.551912999999999</v>
      </c>
      <c r="C20" s="8">
        <f t="shared" si="0"/>
        <v>-0.46187924242424572</v>
      </c>
      <c r="D20" s="8">
        <f t="shared" si="1"/>
        <v>0.21333243458239515</v>
      </c>
    </row>
    <row r="21" spans="1:4" x14ac:dyDescent="0.35">
      <c r="A21" s="6">
        <v>2009</v>
      </c>
      <c r="B21" s="7">
        <v>25.403013999999999</v>
      </c>
      <c r="C21" s="8">
        <f t="shared" si="0"/>
        <v>0.38922175757575417</v>
      </c>
      <c r="D21" s="8">
        <f t="shared" si="1"/>
        <v>0.15149357657035914</v>
      </c>
    </row>
    <row r="22" spans="1:4" x14ac:dyDescent="0.35">
      <c r="A22" s="6">
        <v>2010</v>
      </c>
      <c r="B22" s="7">
        <v>25.597788999999999</v>
      </c>
      <c r="C22" s="8">
        <f t="shared" si="0"/>
        <v>0.58399675757575409</v>
      </c>
      <c r="D22" s="8">
        <f t="shared" si="1"/>
        <v>0.34105221285899406</v>
      </c>
    </row>
    <row r="23" spans="1:4" x14ac:dyDescent="0.35">
      <c r="A23" s="6">
        <v>2011</v>
      </c>
      <c r="B23" s="7">
        <v>24.755890000000001</v>
      </c>
      <c r="C23" s="8">
        <f t="shared" si="0"/>
        <v>-0.25790224242424387</v>
      </c>
      <c r="D23" s="8">
        <f t="shared" si="1"/>
        <v>6.6513566647453448E-2</v>
      </c>
    </row>
    <row r="24" spans="1:4" x14ac:dyDescent="0.35">
      <c r="A24" s="6">
        <v>2012</v>
      </c>
      <c r="B24" s="7">
        <v>24.933879999999998</v>
      </c>
      <c r="C24" s="8">
        <f t="shared" si="0"/>
        <v>-7.9912242424246216E-2</v>
      </c>
      <c r="D24" s="8">
        <f t="shared" si="1"/>
        <v>6.3859664892714964E-3</v>
      </c>
    </row>
    <row r="25" spans="1:4" x14ac:dyDescent="0.35">
      <c r="A25" s="6">
        <v>2013</v>
      </c>
      <c r="B25" s="7">
        <v>24.856985999999999</v>
      </c>
      <c r="C25" s="8">
        <f t="shared" si="0"/>
        <v>-0.15680624242424557</v>
      </c>
      <c r="D25" s="8">
        <f t="shared" si="1"/>
        <v>2.458819766321127E-2</v>
      </c>
    </row>
    <row r="26" spans="1:4" x14ac:dyDescent="0.35">
      <c r="A26" s="6">
        <v>2014</v>
      </c>
      <c r="B26" s="7">
        <v>24.944109999999998</v>
      </c>
      <c r="C26" s="8">
        <f t="shared" si="0"/>
        <v>-6.9682242424246255E-2</v>
      </c>
      <c r="D26" s="8">
        <f t="shared" si="1"/>
        <v>4.8556149092714249E-3</v>
      </c>
    </row>
    <row r="27" spans="1:4" x14ac:dyDescent="0.35">
      <c r="A27" s="6">
        <v>2015</v>
      </c>
      <c r="B27" s="7">
        <v>25.242466</v>
      </c>
      <c r="C27" s="8">
        <f t="shared" si="0"/>
        <v>0.22867375757575559</v>
      </c>
      <c r="D27" s="8">
        <f t="shared" si="1"/>
        <v>5.2291687403815436E-2</v>
      </c>
    </row>
    <row r="28" spans="1:4" x14ac:dyDescent="0.35">
      <c r="A28" s="6">
        <v>2016</v>
      </c>
      <c r="B28" s="7">
        <v>26.864481000000001</v>
      </c>
      <c r="C28" s="8">
        <f t="shared" si="0"/>
        <v>1.8506887575757567</v>
      </c>
      <c r="D28" s="8">
        <f t="shared" si="1"/>
        <v>3.4250488774172978</v>
      </c>
    </row>
    <row r="29" spans="1:4" x14ac:dyDescent="0.35">
      <c r="A29" s="6">
        <v>2017</v>
      </c>
      <c r="B29" s="7">
        <v>26.100822000000001</v>
      </c>
      <c r="C29" s="8">
        <f t="shared" si="0"/>
        <v>1.0870297575757562</v>
      </c>
      <c r="D29" s="8">
        <f t="shared" si="1"/>
        <v>1.1816336938552072</v>
      </c>
    </row>
    <row r="30" spans="1:4" x14ac:dyDescent="0.35">
      <c r="A30" s="6">
        <v>2018</v>
      </c>
      <c r="B30" s="7">
        <v>25.499452000000002</v>
      </c>
      <c r="C30" s="8">
        <f t="shared" si="0"/>
        <v>0.48565975757575686</v>
      </c>
      <c r="D30" s="8">
        <f t="shared" si="1"/>
        <v>0.23586540012854293</v>
      </c>
    </row>
    <row r="31" spans="1:4" x14ac:dyDescent="0.35">
      <c r="A31" s="6">
        <v>2019</v>
      </c>
      <c r="B31" s="7">
        <v>25.592877000000001</v>
      </c>
      <c r="C31" s="8">
        <f t="shared" si="0"/>
        <v>0.57908475757575673</v>
      </c>
      <c r="D31" s="8">
        <f t="shared" si="1"/>
        <v>0.33533915645657292</v>
      </c>
    </row>
    <row r="32" spans="1:4" x14ac:dyDescent="0.35">
      <c r="A32" s="6">
        <v>2020</v>
      </c>
      <c r="B32" s="7">
        <v>24.910108999999999</v>
      </c>
      <c r="C32" s="8">
        <f t="shared" si="0"/>
        <v>-0.1036832424242462</v>
      </c>
      <c r="D32" s="8">
        <f t="shared" si="1"/>
        <v>1.0750214759605008E-2</v>
      </c>
    </row>
    <row r="33" spans="1:4" x14ac:dyDescent="0.35">
      <c r="A33" s="6">
        <v>2021</v>
      </c>
      <c r="B33" s="7">
        <v>25.070958999999998</v>
      </c>
      <c r="C33" s="8">
        <f t="shared" si="0"/>
        <v>5.7166757575753735E-2</v>
      </c>
      <c r="D33" s="8">
        <f t="shared" si="1"/>
        <v>3.2680381717249971E-3</v>
      </c>
    </row>
    <row r="34" spans="1:4" x14ac:dyDescent="0.35">
      <c r="A34" s="6">
        <v>2022</v>
      </c>
      <c r="B34" s="7">
        <v>26.311164999999999</v>
      </c>
      <c r="C34" s="8">
        <f t="shared" si="0"/>
        <v>1.2973727575757543</v>
      </c>
      <c r="D34" s="8">
        <f t="shared" si="1"/>
        <v>1.6831760720997171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868C-E108-45A8-B079-394A9C52BBEE}">
  <dimension ref="A1:N34"/>
  <sheetViews>
    <sheetView workbookViewId="0"/>
  </sheetViews>
  <sheetFormatPr defaultRowHeight="14.5" x14ac:dyDescent="0.35"/>
  <cols>
    <col min="1" max="1" width="6.36328125" bestFit="1" customWidth="1"/>
    <col min="2" max="2" width="18.7265625" bestFit="1" customWidth="1"/>
    <col min="3" max="3" width="11.453125" bestFit="1" customWidth="1"/>
    <col min="4" max="4" width="11.81640625" bestFit="1" customWidth="1"/>
    <col min="13" max="13" width="23.1796875" bestFit="1" customWidth="1"/>
    <col min="14" max="14" width="11.81640625" bestFit="1" customWidth="1"/>
  </cols>
  <sheetData>
    <row r="1" spans="1:14" x14ac:dyDescent="0.35">
      <c r="A1" s="9" t="s">
        <v>0</v>
      </c>
      <c r="B1" s="9" t="s">
        <v>10</v>
      </c>
      <c r="C1" s="13" t="s">
        <v>2</v>
      </c>
      <c r="D1" s="13" t="s">
        <v>3</v>
      </c>
    </row>
    <row r="2" spans="1:14" x14ac:dyDescent="0.35">
      <c r="A2" s="6">
        <v>1990</v>
      </c>
      <c r="B2" s="7">
        <v>31.358516999999999</v>
      </c>
      <c r="C2" s="10">
        <f>B2-$N$4</f>
        <v>-0.44872803030303388</v>
      </c>
      <c r="D2" s="10">
        <f>C2^2</f>
        <v>0.20135684517964048</v>
      </c>
    </row>
    <row r="3" spans="1:14" x14ac:dyDescent="0.35">
      <c r="A3" s="6">
        <v>1991</v>
      </c>
      <c r="B3" s="7">
        <v>31.948347999999999</v>
      </c>
      <c r="C3" s="10">
        <f t="shared" ref="C3:C34" si="0">B3-$N$4</f>
        <v>0.14110296969696634</v>
      </c>
      <c r="D3" s="10">
        <f t="shared" ref="D3:D34" si="1">C3^2</f>
        <v>1.9910048057303002E-2</v>
      </c>
    </row>
    <row r="4" spans="1:14" x14ac:dyDescent="0.35">
      <c r="A4" s="6">
        <v>1992</v>
      </c>
      <c r="B4" s="7">
        <v>30.905078</v>
      </c>
      <c r="C4" s="10">
        <f t="shared" si="0"/>
        <v>-0.90216703030303336</v>
      </c>
      <c r="D4" s="10">
        <f t="shared" si="1"/>
        <v>0.81390535056579427</v>
      </c>
      <c r="M4" s="5" t="s">
        <v>1</v>
      </c>
      <c r="N4" s="10">
        <f>SUM(B2:B34)/COUNT(B2:B34)</f>
        <v>31.807245030303033</v>
      </c>
    </row>
    <row r="5" spans="1:14" x14ac:dyDescent="0.35">
      <c r="A5" s="6">
        <v>1993</v>
      </c>
      <c r="B5" s="7">
        <v>31.536888999999999</v>
      </c>
      <c r="C5" s="10">
        <f t="shared" si="0"/>
        <v>-0.27035603030303434</v>
      </c>
      <c r="D5" s="10">
        <f t="shared" si="1"/>
        <v>7.3092383121215229E-2</v>
      </c>
      <c r="M5" s="5" t="s">
        <v>4</v>
      </c>
      <c r="N5" s="10">
        <f>SUM(D2:D34)</f>
        <v>16.632949692598977</v>
      </c>
    </row>
    <row r="6" spans="1:14" x14ac:dyDescent="0.35">
      <c r="A6" s="6">
        <v>1994</v>
      </c>
      <c r="B6" s="7">
        <v>31.254439999999999</v>
      </c>
      <c r="C6" s="10">
        <f t="shared" si="0"/>
        <v>-0.55280503030303407</v>
      </c>
      <c r="D6" s="10">
        <f t="shared" si="1"/>
        <v>0.30559340152833842</v>
      </c>
      <c r="M6" s="4"/>
    </row>
    <row r="7" spans="1:14" x14ac:dyDescent="0.35">
      <c r="A7" s="6">
        <v>1995</v>
      </c>
      <c r="B7" s="7">
        <v>31.252039</v>
      </c>
      <c r="C7" s="10">
        <f t="shared" si="0"/>
        <v>-0.55520603030303306</v>
      </c>
      <c r="D7" s="10">
        <f t="shared" si="1"/>
        <v>0.30825373608485246</v>
      </c>
      <c r="M7" s="5" t="s">
        <v>5</v>
      </c>
      <c r="N7" s="10">
        <f>N5/COUNT(B2:B34)</f>
        <v>0.5040287785636054</v>
      </c>
    </row>
    <row r="8" spans="1:14" x14ac:dyDescent="0.35">
      <c r="A8" s="6">
        <v>1996</v>
      </c>
      <c r="B8" s="7">
        <v>31.083815000000001</v>
      </c>
      <c r="C8" s="10">
        <f t="shared" si="0"/>
        <v>-0.72343003030303166</v>
      </c>
      <c r="D8" s="10">
        <f t="shared" si="1"/>
        <v>0.52335100874424534</v>
      </c>
      <c r="M8" s="5" t="s">
        <v>6</v>
      </c>
      <c r="N8" s="10">
        <f>SQRT(N7)</f>
        <v>0.7099498422871896</v>
      </c>
    </row>
    <row r="9" spans="1:14" x14ac:dyDescent="0.35">
      <c r="A9" s="6">
        <v>1997</v>
      </c>
      <c r="B9" s="7">
        <v>29.901515</v>
      </c>
      <c r="C9" s="10">
        <f t="shared" si="0"/>
        <v>-1.9057300303030331</v>
      </c>
      <c r="D9" s="10">
        <f t="shared" si="1"/>
        <v>3.6318069483987996</v>
      </c>
      <c r="M9" s="5" t="s">
        <v>7</v>
      </c>
      <c r="N9" s="11">
        <f>(N8/N4)*100</f>
        <v>2.2320381460601646</v>
      </c>
    </row>
    <row r="10" spans="1:14" x14ac:dyDescent="0.35">
      <c r="A10" s="6">
        <v>1998</v>
      </c>
      <c r="B10" s="7">
        <v>31.056003</v>
      </c>
      <c r="C10" s="10">
        <f t="shared" si="0"/>
        <v>-0.75124203030303249</v>
      </c>
      <c r="D10" s="10">
        <f t="shared" si="1"/>
        <v>0.56436458809382239</v>
      </c>
    </row>
    <row r="11" spans="1:14" x14ac:dyDescent="0.35">
      <c r="A11" s="6">
        <v>1999</v>
      </c>
      <c r="B11" s="7">
        <v>31.872957</v>
      </c>
      <c r="C11" s="10">
        <f t="shared" si="0"/>
        <v>6.5711969696966577E-2</v>
      </c>
      <c r="D11" s="10">
        <f t="shared" si="1"/>
        <v>4.3180629614550537E-3</v>
      </c>
    </row>
    <row r="12" spans="1:14" x14ac:dyDescent="0.35">
      <c r="A12" s="6">
        <v>2000</v>
      </c>
      <c r="B12" s="7">
        <v>31.396657000000001</v>
      </c>
      <c r="C12" s="10">
        <f t="shared" si="0"/>
        <v>-0.41058803030303181</v>
      </c>
      <c r="D12" s="10">
        <f t="shared" si="1"/>
        <v>0.16858253062812337</v>
      </c>
    </row>
    <row r="13" spans="1:14" x14ac:dyDescent="0.35">
      <c r="A13" s="6">
        <v>2001</v>
      </c>
      <c r="B13" s="7">
        <v>31.440645</v>
      </c>
      <c r="C13" s="10">
        <f t="shared" si="0"/>
        <v>-0.36660003030303301</v>
      </c>
      <c r="D13" s="10">
        <f t="shared" si="1"/>
        <v>0.13439558221818473</v>
      </c>
    </row>
    <row r="14" spans="1:14" x14ac:dyDescent="0.35">
      <c r="A14" s="6">
        <v>2002</v>
      </c>
      <c r="B14" s="7">
        <v>32.202530000000003</v>
      </c>
      <c r="C14" s="10">
        <f t="shared" si="0"/>
        <v>0.39528496969697002</v>
      </c>
      <c r="D14" s="10">
        <f t="shared" si="1"/>
        <v>0.15625020726833452</v>
      </c>
    </row>
    <row r="15" spans="1:14" x14ac:dyDescent="0.35">
      <c r="A15" s="6">
        <v>2003</v>
      </c>
      <c r="B15" s="7">
        <v>30.907686999999999</v>
      </c>
      <c r="C15" s="10">
        <f t="shared" si="0"/>
        <v>-0.89955803030303372</v>
      </c>
      <c r="D15" s="10">
        <f t="shared" si="1"/>
        <v>0.80920464988267371</v>
      </c>
    </row>
    <row r="16" spans="1:14" x14ac:dyDescent="0.35">
      <c r="A16" s="6">
        <v>2004</v>
      </c>
      <c r="B16" s="7">
        <v>31.762311</v>
      </c>
      <c r="C16" s="10">
        <f t="shared" si="0"/>
        <v>-4.4934030303032557E-2</v>
      </c>
      <c r="D16" s="10">
        <f t="shared" si="1"/>
        <v>2.0190670792738482E-3</v>
      </c>
    </row>
    <row r="17" spans="1:4" x14ac:dyDescent="0.35">
      <c r="A17" s="6">
        <v>2005</v>
      </c>
      <c r="B17" s="7">
        <v>31.667960999999998</v>
      </c>
      <c r="C17" s="10">
        <f t="shared" si="0"/>
        <v>-0.13928403030303471</v>
      </c>
      <c r="D17" s="10">
        <f t="shared" si="1"/>
        <v>1.9400041097456692E-2</v>
      </c>
    </row>
    <row r="18" spans="1:4" x14ac:dyDescent="0.35">
      <c r="A18" s="6">
        <v>2006</v>
      </c>
      <c r="B18" s="7">
        <v>32.283884</v>
      </c>
      <c r="C18" s="10">
        <f t="shared" si="0"/>
        <v>0.47663896969696751</v>
      </c>
      <c r="D18" s="10">
        <f t="shared" si="1"/>
        <v>0.22718470743378671</v>
      </c>
    </row>
    <row r="19" spans="1:4" x14ac:dyDescent="0.35">
      <c r="A19" s="6">
        <v>2007</v>
      </c>
      <c r="B19" s="7">
        <v>31.649815</v>
      </c>
      <c r="C19" s="10">
        <f t="shared" si="0"/>
        <v>-0.15743003030303271</v>
      </c>
      <c r="D19" s="10">
        <f t="shared" si="1"/>
        <v>2.4784214441213797E-2</v>
      </c>
    </row>
    <row r="20" spans="1:4" x14ac:dyDescent="0.35">
      <c r="A20" s="6">
        <v>2008</v>
      </c>
      <c r="B20" s="7">
        <v>31.523883000000001</v>
      </c>
      <c r="C20" s="10">
        <f t="shared" si="0"/>
        <v>-0.28336203030303153</v>
      </c>
      <c r="D20" s="10">
        <f t="shared" si="1"/>
        <v>8.0294040217456161E-2</v>
      </c>
    </row>
    <row r="21" spans="1:4" x14ac:dyDescent="0.35">
      <c r="A21" s="6">
        <v>2009</v>
      </c>
      <c r="B21" s="7">
        <v>32.466349999999998</v>
      </c>
      <c r="C21" s="10">
        <f t="shared" si="0"/>
        <v>0.65910496969696553</v>
      </c>
      <c r="D21" s="10">
        <f t="shared" si="1"/>
        <v>0.43441936107923784</v>
      </c>
    </row>
    <row r="22" spans="1:4" x14ac:dyDescent="0.35">
      <c r="A22" s="6">
        <v>2010</v>
      </c>
      <c r="B22" s="7">
        <v>32.221628000000003</v>
      </c>
      <c r="C22" s="10">
        <f t="shared" si="0"/>
        <v>0.41438296969696964</v>
      </c>
      <c r="D22" s="10">
        <f t="shared" si="1"/>
        <v>0.17171324557487966</v>
      </c>
    </row>
    <row r="23" spans="1:4" x14ac:dyDescent="0.35">
      <c r="A23" s="6">
        <v>2011</v>
      </c>
      <c r="B23" s="7">
        <v>31.67755</v>
      </c>
      <c r="C23" s="10">
        <f t="shared" si="0"/>
        <v>-0.12969503030303287</v>
      </c>
      <c r="D23" s="10">
        <f t="shared" si="1"/>
        <v>1.6820800885304615E-2</v>
      </c>
    </row>
    <row r="24" spans="1:4" x14ac:dyDescent="0.35">
      <c r="A24" s="6">
        <v>2012</v>
      </c>
      <c r="B24" s="7">
        <v>31.963564999999999</v>
      </c>
      <c r="C24" s="10">
        <f t="shared" si="0"/>
        <v>0.15631996969696615</v>
      </c>
      <c r="D24" s="10">
        <f t="shared" si="1"/>
        <v>2.4435932926060416E-2</v>
      </c>
    </row>
    <row r="25" spans="1:4" x14ac:dyDescent="0.35">
      <c r="A25" s="6">
        <v>2013</v>
      </c>
      <c r="B25" s="7">
        <v>31.743400000000001</v>
      </c>
      <c r="C25" s="10">
        <f t="shared" si="0"/>
        <v>-6.3845030303031791E-2</v>
      </c>
      <c r="D25" s="10">
        <f t="shared" si="1"/>
        <v>4.0761878943950478E-3</v>
      </c>
    </row>
    <row r="26" spans="1:4" x14ac:dyDescent="0.35">
      <c r="A26" s="6">
        <v>2014</v>
      </c>
      <c r="B26" s="7">
        <v>31.991893999999998</v>
      </c>
      <c r="C26" s="10">
        <f t="shared" si="0"/>
        <v>0.18464896969696554</v>
      </c>
      <c r="D26" s="10">
        <f t="shared" si="1"/>
        <v>3.4095242010150899E-2</v>
      </c>
    </row>
    <row r="27" spans="1:4" x14ac:dyDescent="0.35">
      <c r="A27" s="6">
        <v>2015</v>
      </c>
      <c r="B27" s="7">
        <v>31.974955999999999</v>
      </c>
      <c r="C27" s="10">
        <f t="shared" si="0"/>
        <v>0.16771096969696586</v>
      </c>
      <c r="D27" s="10">
        <f t="shared" si="1"/>
        <v>2.8126969356696601E-2</v>
      </c>
    </row>
    <row r="28" spans="1:4" x14ac:dyDescent="0.35">
      <c r="A28" s="6">
        <v>2016</v>
      </c>
      <c r="B28" s="7">
        <v>33.457039999999999</v>
      </c>
      <c r="C28" s="10">
        <f t="shared" si="0"/>
        <v>1.6497949696969663</v>
      </c>
      <c r="D28" s="10">
        <f t="shared" si="1"/>
        <v>2.7218234420374139</v>
      </c>
    </row>
    <row r="29" spans="1:4" x14ac:dyDescent="0.35">
      <c r="A29" s="6">
        <v>2017</v>
      </c>
      <c r="B29" s="7">
        <v>33.172232000000001</v>
      </c>
      <c r="C29" s="10">
        <f t="shared" si="0"/>
        <v>1.3649869696969681</v>
      </c>
      <c r="D29" s="10">
        <f t="shared" si="1"/>
        <v>1.8631894274425116</v>
      </c>
    </row>
    <row r="30" spans="1:4" x14ac:dyDescent="0.35">
      <c r="A30" s="6">
        <v>2018</v>
      </c>
      <c r="B30" s="7">
        <v>32.896374000000002</v>
      </c>
      <c r="C30" s="10">
        <f t="shared" si="0"/>
        <v>1.0891289696969686</v>
      </c>
      <c r="D30" s="10">
        <f t="shared" si="1"/>
        <v>1.1862019126331804</v>
      </c>
    </row>
    <row r="31" spans="1:4" x14ac:dyDescent="0.35">
      <c r="A31" s="6">
        <v>2019</v>
      </c>
      <c r="B31" s="7">
        <v>31.954795000000001</v>
      </c>
      <c r="C31" s="10">
        <f t="shared" si="0"/>
        <v>0.14754996969696776</v>
      </c>
      <c r="D31" s="10">
        <f t="shared" si="1"/>
        <v>2.1770993557576106E-2</v>
      </c>
    </row>
    <row r="32" spans="1:4" x14ac:dyDescent="0.35">
      <c r="A32" s="6">
        <v>2020</v>
      </c>
      <c r="B32" s="7">
        <v>31.992622999999998</v>
      </c>
      <c r="C32" s="10">
        <f t="shared" si="0"/>
        <v>0.18537796969696529</v>
      </c>
      <c r="D32" s="10">
        <f t="shared" si="1"/>
        <v>3.436499164896898E-2</v>
      </c>
    </row>
    <row r="33" spans="1:4" x14ac:dyDescent="0.35">
      <c r="A33" s="6">
        <v>2021</v>
      </c>
      <c r="B33" s="7">
        <v>31.894521000000001</v>
      </c>
      <c r="C33" s="10">
        <f t="shared" si="0"/>
        <v>8.7275969696968048E-2</v>
      </c>
      <c r="D33" s="10">
        <f t="shared" si="1"/>
        <v>7.6170948865460853E-3</v>
      </c>
    </row>
    <row r="34" spans="1:4" x14ac:dyDescent="0.35">
      <c r="A34" s="6">
        <v>2022</v>
      </c>
      <c r="B34" s="7">
        <v>33.227184000000001</v>
      </c>
      <c r="C34" s="10">
        <f t="shared" si="0"/>
        <v>1.4199389696969682</v>
      </c>
      <c r="D34" s="10">
        <f t="shared" si="1"/>
        <v>2.0162266776640876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991B-E9EB-4EA7-95F4-D953BF01F272}">
  <dimension ref="A1:N34"/>
  <sheetViews>
    <sheetView workbookViewId="0"/>
  </sheetViews>
  <sheetFormatPr defaultRowHeight="14.5" x14ac:dyDescent="0.35"/>
  <cols>
    <col min="1" max="1" width="6.36328125" bestFit="1" customWidth="1"/>
    <col min="2" max="2" width="18.81640625" bestFit="1" customWidth="1"/>
    <col min="3" max="3" width="12.453125" bestFit="1" customWidth="1"/>
    <col min="4" max="4" width="11.81640625" bestFit="1" customWidth="1"/>
    <col min="13" max="13" width="23.1796875" bestFit="1" customWidth="1"/>
    <col min="14" max="14" width="11.81640625" bestFit="1" customWidth="1"/>
  </cols>
  <sheetData>
    <row r="1" spans="1:14" x14ac:dyDescent="0.35">
      <c r="A1" s="9" t="s">
        <v>0</v>
      </c>
      <c r="B1" s="9" t="s">
        <v>9</v>
      </c>
      <c r="C1" s="13" t="s">
        <v>2</v>
      </c>
      <c r="D1" s="13" t="s">
        <v>3</v>
      </c>
    </row>
    <row r="2" spans="1:14" x14ac:dyDescent="0.35">
      <c r="A2" s="6">
        <v>1990</v>
      </c>
      <c r="B2" s="7">
        <v>19.371168999999998</v>
      </c>
      <c r="C2" s="10">
        <f>B2-$N$4</f>
        <v>0.47334866666666997</v>
      </c>
      <c r="D2" s="10">
        <f>C2^2</f>
        <v>0.22405896023511424</v>
      </c>
    </row>
    <row r="3" spans="1:14" x14ac:dyDescent="0.35">
      <c r="A3" s="6">
        <v>1991</v>
      </c>
      <c r="B3" s="7">
        <v>19.15869</v>
      </c>
      <c r="C3" s="10">
        <f t="shared" ref="C3:C34" si="0">B3-$N$4</f>
        <v>0.26086966666667166</v>
      </c>
      <c r="D3" s="10">
        <f t="shared" ref="D3:D34" si="1">C3^2</f>
        <v>6.8052982986780378E-2</v>
      </c>
    </row>
    <row r="4" spans="1:14" x14ac:dyDescent="0.35">
      <c r="A4" s="6">
        <v>1992</v>
      </c>
      <c r="B4" s="7">
        <v>17.696598000000002</v>
      </c>
      <c r="C4" s="10">
        <f t="shared" si="0"/>
        <v>-1.2012223333333267</v>
      </c>
      <c r="D4" s="10">
        <f t="shared" si="1"/>
        <v>1.442935094098762</v>
      </c>
      <c r="M4" s="5" t="s">
        <v>1</v>
      </c>
      <c r="N4" s="12">
        <f>SUM(B2:B34)/COUNT(B2:B34)</f>
        <v>18.897820333333328</v>
      </c>
    </row>
    <row r="5" spans="1:14" x14ac:dyDescent="0.35">
      <c r="A5" s="6">
        <v>1993</v>
      </c>
      <c r="B5" s="7">
        <v>18.510529999999999</v>
      </c>
      <c r="C5" s="10">
        <f t="shared" si="0"/>
        <v>-0.38729033333332907</v>
      </c>
      <c r="D5" s="10">
        <f t="shared" si="1"/>
        <v>0.14999380229344114</v>
      </c>
      <c r="M5" s="5" t="s">
        <v>4</v>
      </c>
      <c r="N5" s="12">
        <f>SUM(D2:D34)</f>
        <v>9.5899238069093364</v>
      </c>
    </row>
    <row r="6" spans="1:14" x14ac:dyDescent="0.35">
      <c r="A6" s="6">
        <v>1994</v>
      </c>
      <c r="B6" s="7">
        <v>18.609311000000002</v>
      </c>
      <c r="C6" s="10">
        <f t="shared" si="0"/>
        <v>-0.28850933333332662</v>
      </c>
      <c r="D6" s="10">
        <f t="shared" si="1"/>
        <v>8.3237635420440576E-2</v>
      </c>
      <c r="M6" s="4"/>
    </row>
    <row r="7" spans="1:14" x14ac:dyDescent="0.35">
      <c r="A7" s="6">
        <v>1995</v>
      </c>
      <c r="B7" s="7">
        <v>18.822590000000002</v>
      </c>
      <c r="C7" s="10">
        <f t="shared" si="0"/>
        <v>-7.5230333333326627E-2</v>
      </c>
      <c r="D7" s="10">
        <f t="shared" si="1"/>
        <v>5.6596030534434355E-3</v>
      </c>
      <c r="M7" s="5" t="s">
        <v>5</v>
      </c>
      <c r="N7" s="12">
        <f>N5/COUNT(B2:B34)</f>
        <v>0.29060375172452535</v>
      </c>
    </row>
    <row r="8" spans="1:14" x14ac:dyDescent="0.35">
      <c r="A8" s="6">
        <v>1996</v>
      </c>
      <c r="B8" s="7">
        <v>18.085425999999998</v>
      </c>
      <c r="C8" s="10">
        <f t="shared" si="0"/>
        <v>-0.81239433333333011</v>
      </c>
      <c r="D8" s="10">
        <f t="shared" si="1"/>
        <v>0.65998455283210589</v>
      </c>
      <c r="M8" s="5" t="s">
        <v>6</v>
      </c>
      <c r="N8" s="12">
        <f>SQRT(N7)</f>
        <v>0.53907675865735982</v>
      </c>
    </row>
    <row r="9" spans="1:14" x14ac:dyDescent="0.35">
      <c r="A9" s="6">
        <v>1997</v>
      </c>
      <c r="B9" s="7">
        <v>17.980689999999999</v>
      </c>
      <c r="C9" s="10">
        <f t="shared" si="0"/>
        <v>-0.91713033333332916</v>
      </c>
      <c r="D9" s="10">
        <f t="shared" si="1"/>
        <v>0.84112804832010346</v>
      </c>
      <c r="M9" s="5" t="s">
        <v>7</v>
      </c>
      <c r="N9" s="12">
        <f>(N8/N4)*100</f>
        <v>2.8525869605527872</v>
      </c>
    </row>
    <row r="10" spans="1:14" x14ac:dyDescent="0.35">
      <c r="A10" s="6">
        <v>1998</v>
      </c>
      <c r="B10" s="7">
        <v>18.844771999999999</v>
      </c>
      <c r="C10" s="10">
        <f t="shared" si="0"/>
        <v>-5.3048333333329367E-2</v>
      </c>
      <c r="D10" s="10">
        <f t="shared" si="1"/>
        <v>2.8141256694440234E-3</v>
      </c>
    </row>
    <row r="11" spans="1:14" x14ac:dyDescent="0.35">
      <c r="A11" s="6">
        <v>1999</v>
      </c>
      <c r="B11" s="7">
        <v>18.879895999999999</v>
      </c>
      <c r="C11" s="10">
        <f t="shared" si="0"/>
        <v>-1.7924333333329656E-2</v>
      </c>
      <c r="D11" s="10">
        <f t="shared" si="1"/>
        <v>3.2128172544431262E-4</v>
      </c>
    </row>
    <row r="12" spans="1:14" x14ac:dyDescent="0.35">
      <c r="A12" s="6">
        <v>2000</v>
      </c>
      <c r="B12" s="7">
        <v>18.659309</v>
      </c>
      <c r="C12" s="10">
        <f t="shared" si="0"/>
        <v>-0.23851133333332797</v>
      </c>
      <c r="D12" s="10">
        <f t="shared" si="1"/>
        <v>5.6887656128441884E-2</v>
      </c>
    </row>
    <row r="13" spans="1:14" x14ac:dyDescent="0.35">
      <c r="A13" s="6">
        <v>2001</v>
      </c>
      <c r="B13" s="7">
        <v>18.493812999999999</v>
      </c>
      <c r="C13" s="10">
        <f t="shared" si="0"/>
        <v>-0.40400733333332894</v>
      </c>
      <c r="D13" s="10">
        <f t="shared" si="1"/>
        <v>0.16322192538710756</v>
      </c>
    </row>
    <row r="14" spans="1:14" x14ac:dyDescent="0.35">
      <c r="A14" s="6">
        <v>2002</v>
      </c>
      <c r="B14" s="7">
        <v>19.240487999999999</v>
      </c>
      <c r="C14" s="10">
        <f t="shared" si="0"/>
        <v>0.34266766666667081</v>
      </c>
      <c r="D14" s="10">
        <f t="shared" si="1"/>
        <v>0.11742112977878062</v>
      </c>
    </row>
    <row r="15" spans="1:14" x14ac:dyDescent="0.35">
      <c r="A15" s="6">
        <v>2003</v>
      </c>
      <c r="B15" s="7">
        <v>18.669826</v>
      </c>
      <c r="C15" s="10">
        <f t="shared" si="0"/>
        <v>-0.22799433333332786</v>
      </c>
      <c r="D15" s="10">
        <f t="shared" si="1"/>
        <v>5.1981416032108617E-2</v>
      </c>
    </row>
    <row r="16" spans="1:14" x14ac:dyDescent="0.35">
      <c r="A16" s="6">
        <v>2004</v>
      </c>
      <c r="B16" s="7">
        <v>19.018218000000001</v>
      </c>
      <c r="C16" s="10">
        <f t="shared" si="0"/>
        <v>0.12039766666667262</v>
      </c>
      <c r="D16" s="10">
        <f t="shared" si="1"/>
        <v>1.4495598138779212E-2</v>
      </c>
    </row>
    <row r="17" spans="1:4" x14ac:dyDescent="0.35">
      <c r="A17" s="6">
        <v>2005</v>
      </c>
      <c r="B17" s="7">
        <v>18.588353999999999</v>
      </c>
      <c r="C17" s="10">
        <f t="shared" si="0"/>
        <v>-0.3094663333333294</v>
      </c>
      <c r="D17" s="10">
        <f t="shared" si="1"/>
        <v>9.5769411466775339E-2</v>
      </c>
    </row>
    <row r="18" spans="1:4" x14ac:dyDescent="0.35">
      <c r="A18" s="6">
        <v>2006</v>
      </c>
      <c r="B18" s="7">
        <v>18.964182999999998</v>
      </c>
      <c r="C18" s="10">
        <f t="shared" si="0"/>
        <v>6.6362666666670123E-2</v>
      </c>
      <c r="D18" s="10">
        <f t="shared" si="1"/>
        <v>4.4040035271115698E-3</v>
      </c>
    </row>
    <row r="19" spans="1:4" x14ac:dyDescent="0.35">
      <c r="A19" s="6">
        <v>2007</v>
      </c>
      <c r="B19" s="7">
        <v>18.816921000000001</v>
      </c>
      <c r="C19" s="10">
        <f t="shared" si="0"/>
        <v>-8.0899333333327661E-2</v>
      </c>
      <c r="D19" s="10">
        <f t="shared" si="1"/>
        <v>6.5447021337768597E-3</v>
      </c>
    </row>
    <row r="20" spans="1:4" x14ac:dyDescent="0.35">
      <c r="A20" s="6">
        <v>2008</v>
      </c>
      <c r="B20" s="7">
        <v>18.722010000000001</v>
      </c>
      <c r="C20" s="10">
        <f t="shared" si="0"/>
        <v>-0.17581033333332741</v>
      </c>
      <c r="D20" s="10">
        <f t="shared" si="1"/>
        <v>3.0909273306775693E-2</v>
      </c>
    </row>
    <row r="21" spans="1:4" x14ac:dyDescent="0.35">
      <c r="A21" s="6">
        <v>2009</v>
      </c>
      <c r="B21" s="7">
        <v>19.268198000000002</v>
      </c>
      <c r="C21" s="10">
        <f t="shared" si="0"/>
        <v>0.37037766666667338</v>
      </c>
      <c r="D21" s="10">
        <f t="shared" si="1"/>
        <v>0.13717961596544942</v>
      </c>
    </row>
    <row r="22" spans="1:4" x14ac:dyDescent="0.35">
      <c r="A22" s="6">
        <v>2010</v>
      </c>
      <c r="B22" s="7">
        <v>19.94585</v>
      </c>
      <c r="C22" s="10">
        <f t="shared" si="0"/>
        <v>1.0480296666666717</v>
      </c>
      <c r="D22" s="10">
        <f t="shared" si="1"/>
        <v>1.0983661822134552</v>
      </c>
    </row>
    <row r="23" spans="1:4" x14ac:dyDescent="0.35">
      <c r="A23" s="6">
        <v>2011</v>
      </c>
      <c r="B23" s="7">
        <v>18.876629999999999</v>
      </c>
      <c r="C23" s="10">
        <f t="shared" si="0"/>
        <v>-2.1190333333329647E-2</v>
      </c>
      <c r="D23" s="10">
        <f t="shared" si="1"/>
        <v>4.4903022677762159E-4</v>
      </c>
    </row>
    <row r="24" spans="1:4" x14ac:dyDescent="0.35">
      <c r="A24" s="6">
        <v>2012</v>
      </c>
      <c r="B24" s="7">
        <v>18.894235999999999</v>
      </c>
      <c r="C24" s="10">
        <f t="shared" si="0"/>
        <v>-3.5843333333289706E-3</v>
      </c>
      <c r="D24" s="10">
        <f t="shared" si="1"/>
        <v>1.2847445444413169E-5</v>
      </c>
    </row>
    <row r="25" spans="1:4" x14ac:dyDescent="0.35">
      <c r="A25" s="6">
        <v>2013</v>
      </c>
      <c r="B25" s="7">
        <v>18.718765000000001</v>
      </c>
      <c r="C25" s="10">
        <f t="shared" si="0"/>
        <v>-0.17905533333332713</v>
      </c>
      <c r="D25" s="10">
        <f t="shared" si="1"/>
        <v>3.2060812395108891E-2</v>
      </c>
    </row>
    <row r="26" spans="1:4" x14ac:dyDescent="0.35">
      <c r="A26" s="6">
        <v>2014</v>
      </c>
      <c r="B26" s="7">
        <v>18.686827999999998</v>
      </c>
      <c r="C26" s="10">
        <f t="shared" si="0"/>
        <v>-0.2109923333333299</v>
      </c>
      <c r="D26" s="10">
        <f t="shared" si="1"/>
        <v>4.4517764725442992E-2</v>
      </c>
    </row>
    <row r="27" spans="1:4" x14ac:dyDescent="0.35">
      <c r="A27" s="6">
        <v>2015</v>
      </c>
      <c r="B27" s="7">
        <v>19.031725999999999</v>
      </c>
      <c r="C27" s="10">
        <f t="shared" si="0"/>
        <v>0.1339056666666707</v>
      </c>
      <c r="D27" s="10">
        <f t="shared" si="1"/>
        <v>1.7930727565445524E-2</v>
      </c>
    </row>
    <row r="28" spans="1:4" x14ac:dyDescent="0.35">
      <c r="A28" s="6">
        <v>2016</v>
      </c>
      <c r="B28" s="7">
        <v>19.847083999999999</v>
      </c>
      <c r="C28" s="10">
        <f t="shared" si="0"/>
        <v>0.9492636666666705</v>
      </c>
      <c r="D28" s="10">
        <f t="shared" si="1"/>
        <v>0.90110150885345175</v>
      </c>
    </row>
    <row r="29" spans="1:4" x14ac:dyDescent="0.35">
      <c r="A29" s="6">
        <v>2017</v>
      </c>
      <c r="B29" s="7">
        <v>19.450500999999999</v>
      </c>
      <c r="C29" s="10">
        <f t="shared" si="0"/>
        <v>0.55268066666667082</v>
      </c>
      <c r="D29" s="10">
        <f t="shared" si="1"/>
        <v>0.30545591930711569</v>
      </c>
    </row>
    <row r="30" spans="1:4" x14ac:dyDescent="0.35">
      <c r="A30" s="6">
        <v>2018</v>
      </c>
      <c r="B30" s="7">
        <v>19.101672000000001</v>
      </c>
      <c r="C30" s="10">
        <f t="shared" si="0"/>
        <v>0.20385166666667232</v>
      </c>
      <c r="D30" s="10">
        <f t="shared" si="1"/>
        <v>4.1555502002780083E-2</v>
      </c>
    </row>
    <row r="31" spans="1:4" x14ac:dyDescent="0.35">
      <c r="A31" s="6">
        <v>2019</v>
      </c>
      <c r="B31" s="7">
        <v>19.02</v>
      </c>
      <c r="C31" s="10">
        <f t="shared" si="0"/>
        <v>0.12217966666667124</v>
      </c>
      <c r="D31" s="10">
        <f t="shared" si="1"/>
        <v>1.4927870946778894E-2</v>
      </c>
    </row>
    <row r="32" spans="1:4" x14ac:dyDescent="0.35">
      <c r="A32" s="6">
        <v>2020</v>
      </c>
      <c r="B32" s="7">
        <v>18.090983999999999</v>
      </c>
      <c r="C32" s="10">
        <f t="shared" si="0"/>
        <v>-0.80683633333332949</v>
      </c>
      <c r="D32" s="10">
        <f t="shared" si="1"/>
        <v>0.65098486878677153</v>
      </c>
    </row>
    <row r="33" spans="1:4" x14ac:dyDescent="0.35">
      <c r="A33" s="6">
        <v>2021</v>
      </c>
      <c r="B33" s="7">
        <v>19.163288000000001</v>
      </c>
      <c r="C33" s="10">
        <f t="shared" si="0"/>
        <v>0.2654676666666731</v>
      </c>
      <c r="D33" s="10">
        <f t="shared" si="1"/>
        <v>7.047308204544786E-2</v>
      </c>
    </row>
    <row r="34" spans="1:4" x14ac:dyDescent="0.35">
      <c r="A34" s="6">
        <v>2022</v>
      </c>
      <c r="B34" s="7">
        <v>20.399515000000001</v>
      </c>
      <c r="C34" s="10">
        <f t="shared" si="0"/>
        <v>1.5016946666666726</v>
      </c>
      <c r="D34" s="10">
        <f t="shared" si="1"/>
        <v>2.2550868718951289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B000-A568-4F9E-8D28-B179F23D7941}">
  <dimension ref="A1:N34"/>
  <sheetViews>
    <sheetView workbookViewId="0"/>
  </sheetViews>
  <sheetFormatPr defaultRowHeight="14.5" x14ac:dyDescent="0.35"/>
  <cols>
    <col min="1" max="1" width="6.36328125" bestFit="1" customWidth="1"/>
    <col min="2" max="2" width="21.7265625" bestFit="1" customWidth="1"/>
    <col min="3" max="3" width="12.453125" bestFit="1" customWidth="1"/>
    <col min="4" max="4" width="11.81640625" bestFit="1" customWidth="1"/>
    <col min="13" max="13" width="23.1796875" bestFit="1" customWidth="1"/>
    <col min="14" max="14" width="11.81640625" bestFit="1" customWidth="1"/>
  </cols>
  <sheetData>
    <row r="1" spans="1:14" x14ac:dyDescent="0.35">
      <c r="A1" s="9" t="s">
        <v>0</v>
      </c>
      <c r="B1" s="9" t="s">
        <v>11</v>
      </c>
      <c r="C1" s="13" t="s">
        <v>2</v>
      </c>
      <c r="D1" s="13" t="s">
        <v>3</v>
      </c>
    </row>
    <row r="2" spans="1:14" x14ac:dyDescent="0.35">
      <c r="A2" s="6">
        <v>1990</v>
      </c>
      <c r="B2" s="7">
        <v>1.8345210000000001</v>
      </c>
      <c r="C2" s="10">
        <f>B2-$N$4</f>
        <v>6.150233333333377E-2</v>
      </c>
      <c r="D2" s="10">
        <f>C2^2</f>
        <v>3.782537005444498E-3</v>
      </c>
    </row>
    <row r="3" spans="1:14" x14ac:dyDescent="0.35">
      <c r="A3" s="6">
        <v>1991</v>
      </c>
      <c r="B3" s="7">
        <v>1.676712</v>
      </c>
      <c r="C3" s="10">
        <f t="shared" ref="C3:C34" si="0">B3-$N$4</f>
        <v>-9.6306666666666318E-2</v>
      </c>
      <c r="D3" s="10">
        <f t="shared" ref="D3:D34" si="1">C3^2</f>
        <v>9.2749740444443771E-3</v>
      </c>
    </row>
    <row r="4" spans="1:14" x14ac:dyDescent="0.35">
      <c r="A4" s="6">
        <v>1992</v>
      </c>
      <c r="B4" s="7">
        <v>0.95355199999999996</v>
      </c>
      <c r="C4" s="10">
        <f t="shared" si="0"/>
        <v>-0.81946666666666634</v>
      </c>
      <c r="D4" s="10">
        <f t="shared" si="1"/>
        <v>0.6715256177777772</v>
      </c>
      <c r="M4" s="5" t="s">
        <v>1</v>
      </c>
      <c r="N4" s="10">
        <f>SUM(B2:B34)/COUNT(B2:B34)</f>
        <v>1.7730186666666663</v>
      </c>
    </row>
    <row r="5" spans="1:14" x14ac:dyDescent="0.35">
      <c r="A5" s="6">
        <v>1993</v>
      </c>
      <c r="B5" s="7">
        <v>2.17726</v>
      </c>
      <c r="C5" s="10">
        <f t="shared" si="0"/>
        <v>0.40424133333333367</v>
      </c>
      <c r="D5" s="10">
        <f t="shared" si="1"/>
        <v>0.16341105557511137</v>
      </c>
      <c r="M5" s="5" t="s">
        <v>4</v>
      </c>
      <c r="N5" s="10">
        <f>SUM(D2:D34)</f>
        <v>12.352438830375332</v>
      </c>
    </row>
    <row r="6" spans="1:14" x14ac:dyDescent="0.35">
      <c r="A6" s="6">
        <v>1994</v>
      </c>
      <c r="B6" s="7">
        <v>2.4509590000000001</v>
      </c>
      <c r="C6" s="10">
        <f t="shared" si="0"/>
        <v>0.67794033333333381</v>
      </c>
      <c r="D6" s="10">
        <f t="shared" si="1"/>
        <v>0.45960309556011175</v>
      </c>
      <c r="M6" s="4"/>
    </row>
    <row r="7" spans="1:14" x14ac:dyDescent="0.35">
      <c r="A7" s="6">
        <v>1995</v>
      </c>
      <c r="B7" s="7">
        <v>2.25726</v>
      </c>
      <c r="C7" s="10">
        <f t="shared" si="0"/>
        <v>0.48424133333333375</v>
      </c>
      <c r="D7" s="10">
        <f t="shared" si="1"/>
        <v>0.23448966890844483</v>
      </c>
      <c r="M7" s="5" t="s">
        <v>5</v>
      </c>
      <c r="N7" s="10">
        <f>N5/COUNT(B2:B34)</f>
        <v>0.37431632819319188</v>
      </c>
    </row>
    <row r="8" spans="1:14" x14ac:dyDescent="0.35">
      <c r="A8" s="6">
        <v>1996</v>
      </c>
      <c r="B8" s="7">
        <v>2.7245900000000001</v>
      </c>
      <c r="C8" s="10">
        <f t="shared" si="0"/>
        <v>0.95157133333333377</v>
      </c>
      <c r="D8" s="10">
        <f t="shared" si="1"/>
        <v>0.90548800242177863</v>
      </c>
      <c r="M8" s="5" t="s">
        <v>6</v>
      </c>
      <c r="N8" s="10">
        <f>SQRT(N7)</f>
        <v>0.61181396534665</v>
      </c>
    </row>
    <row r="9" spans="1:14" x14ac:dyDescent="0.35">
      <c r="A9" s="6">
        <v>1997</v>
      </c>
      <c r="B9" s="7">
        <v>1.2684930000000001</v>
      </c>
      <c r="C9" s="10">
        <f t="shared" si="0"/>
        <v>-0.50452566666666621</v>
      </c>
      <c r="D9" s="10">
        <f t="shared" si="1"/>
        <v>0.25454614832544398</v>
      </c>
      <c r="M9" s="5" t="s">
        <v>7</v>
      </c>
      <c r="N9" s="10">
        <f>(N8/N4)*100</f>
        <v>34.506910550292204</v>
      </c>
    </row>
    <row r="10" spans="1:14" x14ac:dyDescent="0.35">
      <c r="A10" s="6">
        <v>1998</v>
      </c>
      <c r="B10" s="7">
        <v>2.2756159999999999</v>
      </c>
      <c r="C10" s="10">
        <f t="shared" si="0"/>
        <v>0.50259733333333356</v>
      </c>
      <c r="D10" s="10">
        <f t="shared" si="1"/>
        <v>0.252604079473778</v>
      </c>
    </row>
    <row r="11" spans="1:14" x14ac:dyDescent="0.35">
      <c r="A11" s="6">
        <v>1999</v>
      </c>
      <c r="B11" s="7">
        <v>0.78986299999999998</v>
      </c>
      <c r="C11" s="10">
        <f t="shared" si="0"/>
        <v>-0.98315566666666632</v>
      </c>
      <c r="D11" s="10">
        <f t="shared" si="1"/>
        <v>0.96659506489877711</v>
      </c>
    </row>
    <row r="12" spans="1:14" x14ac:dyDescent="0.35">
      <c r="A12" s="6">
        <v>2000</v>
      </c>
      <c r="B12" s="7">
        <v>1.484426</v>
      </c>
      <c r="C12" s="10">
        <f t="shared" si="0"/>
        <v>-0.28859266666666628</v>
      </c>
      <c r="D12" s="10">
        <f t="shared" si="1"/>
        <v>8.3285727253777558E-2</v>
      </c>
    </row>
    <row r="13" spans="1:14" x14ac:dyDescent="0.35">
      <c r="A13" s="6">
        <v>2001</v>
      </c>
      <c r="B13" s="7">
        <v>1.122466</v>
      </c>
      <c r="C13" s="10">
        <f t="shared" si="0"/>
        <v>-0.65055266666666633</v>
      </c>
      <c r="D13" s="10">
        <f t="shared" si="1"/>
        <v>0.42321877210711067</v>
      </c>
    </row>
    <row r="14" spans="1:14" x14ac:dyDescent="0.35">
      <c r="A14" s="6">
        <v>2002</v>
      </c>
      <c r="B14" s="7">
        <v>1.443562</v>
      </c>
      <c r="C14" s="10">
        <f t="shared" si="0"/>
        <v>-0.32945666666666629</v>
      </c>
      <c r="D14" s="10">
        <f t="shared" si="1"/>
        <v>0.10854169521111086</v>
      </c>
    </row>
    <row r="15" spans="1:14" x14ac:dyDescent="0.35">
      <c r="A15" s="6">
        <v>2003</v>
      </c>
      <c r="B15" s="7">
        <v>2.6320549999999998</v>
      </c>
      <c r="C15" s="10">
        <f t="shared" si="0"/>
        <v>0.85903633333333351</v>
      </c>
      <c r="D15" s="10">
        <f t="shared" si="1"/>
        <v>0.73794342198677809</v>
      </c>
    </row>
    <row r="16" spans="1:14" x14ac:dyDescent="0.35">
      <c r="A16" s="6">
        <v>2004</v>
      </c>
      <c r="B16" s="7">
        <v>1.34918</v>
      </c>
      <c r="C16" s="10">
        <f t="shared" si="0"/>
        <v>-0.42383866666666625</v>
      </c>
      <c r="D16" s="10">
        <f t="shared" si="1"/>
        <v>0.17963921536177743</v>
      </c>
    </row>
    <row r="17" spans="1:4" x14ac:dyDescent="0.35">
      <c r="A17" s="6">
        <v>2005</v>
      </c>
      <c r="B17" s="7">
        <v>1.5830139999999999</v>
      </c>
      <c r="C17" s="10">
        <f t="shared" si="0"/>
        <v>-0.19000466666666638</v>
      </c>
      <c r="D17" s="10">
        <f t="shared" si="1"/>
        <v>3.6101773355111E-2</v>
      </c>
    </row>
    <row r="18" spans="1:4" x14ac:dyDescent="0.35">
      <c r="A18" s="6">
        <v>2006</v>
      </c>
      <c r="B18" s="7">
        <v>1.3295889999999999</v>
      </c>
      <c r="C18" s="10">
        <f t="shared" si="0"/>
        <v>-0.44342966666666639</v>
      </c>
      <c r="D18" s="10">
        <f t="shared" si="1"/>
        <v>0.19662986928011086</v>
      </c>
    </row>
    <row r="19" spans="1:4" x14ac:dyDescent="0.35">
      <c r="A19" s="6">
        <v>2007</v>
      </c>
      <c r="B19" s="7">
        <v>1.324384</v>
      </c>
      <c r="C19" s="10">
        <f t="shared" si="0"/>
        <v>-0.44863466666666629</v>
      </c>
      <c r="D19" s="10">
        <f t="shared" si="1"/>
        <v>0.20127306413511079</v>
      </c>
    </row>
    <row r="20" spans="1:4" x14ac:dyDescent="0.35">
      <c r="A20" s="6">
        <v>2008</v>
      </c>
      <c r="B20" s="7">
        <v>2.0754100000000002</v>
      </c>
      <c r="C20" s="10">
        <f t="shared" si="0"/>
        <v>0.3023913333333339</v>
      </c>
      <c r="D20" s="10">
        <f t="shared" si="1"/>
        <v>9.1440518475111449E-2</v>
      </c>
    </row>
    <row r="21" spans="1:4" x14ac:dyDescent="0.35">
      <c r="A21" s="6">
        <v>2009</v>
      </c>
      <c r="B21" s="7">
        <v>1.235616</v>
      </c>
      <c r="C21" s="10">
        <f t="shared" si="0"/>
        <v>-0.53740266666666625</v>
      </c>
      <c r="D21" s="10">
        <f t="shared" si="1"/>
        <v>0.28880162614044402</v>
      </c>
    </row>
    <row r="22" spans="1:4" x14ac:dyDescent="0.35">
      <c r="A22" s="6">
        <v>2010</v>
      </c>
      <c r="B22" s="7">
        <v>2.402466</v>
      </c>
      <c r="C22" s="10">
        <f t="shared" si="0"/>
        <v>0.62944733333333369</v>
      </c>
      <c r="D22" s="10">
        <f t="shared" si="1"/>
        <v>0.3962039454404449</v>
      </c>
    </row>
    <row r="23" spans="1:4" x14ac:dyDescent="0.35">
      <c r="A23" s="6">
        <v>2011</v>
      </c>
      <c r="B23" s="7">
        <v>1.4531510000000001</v>
      </c>
      <c r="C23" s="10">
        <f t="shared" si="0"/>
        <v>-0.31986766666666622</v>
      </c>
      <c r="D23" s="10">
        <f t="shared" si="1"/>
        <v>0.10231532417877749</v>
      </c>
    </row>
    <row r="24" spans="1:4" x14ac:dyDescent="0.35">
      <c r="A24" s="6">
        <v>2012</v>
      </c>
      <c r="B24" s="7">
        <v>1.512022</v>
      </c>
      <c r="C24" s="10">
        <f t="shared" si="0"/>
        <v>-0.26099666666666632</v>
      </c>
      <c r="D24" s="10">
        <f t="shared" si="1"/>
        <v>6.8119260011110933E-2</v>
      </c>
    </row>
    <row r="25" spans="1:4" x14ac:dyDescent="0.35">
      <c r="A25" s="6">
        <v>2013</v>
      </c>
      <c r="B25" s="7">
        <v>2.7120549999999999</v>
      </c>
      <c r="C25" s="10">
        <f t="shared" si="0"/>
        <v>0.93903633333333358</v>
      </c>
      <c r="D25" s="10">
        <f t="shared" si="1"/>
        <v>0.88178923532011155</v>
      </c>
    </row>
    <row r="26" spans="1:4" x14ac:dyDescent="0.35">
      <c r="A26" s="6">
        <v>2014</v>
      </c>
      <c r="B26" s="7">
        <v>0.70027399999999995</v>
      </c>
      <c r="C26" s="10">
        <f t="shared" si="0"/>
        <v>-1.0727446666666665</v>
      </c>
      <c r="D26" s="10">
        <f t="shared" si="1"/>
        <v>1.1507811198617772</v>
      </c>
    </row>
    <row r="27" spans="1:4" x14ac:dyDescent="0.35">
      <c r="A27" s="6">
        <v>2015</v>
      </c>
      <c r="B27" s="7">
        <v>1.975616</v>
      </c>
      <c r="C27" s="10">
        <f t="shared" si="0"/>
        <v>0.20259733333333374</v>
      </c>
      <c r="D27" s="10">
        <f t="shared" si="1"/>
        <v>4.1045679473777942E-2</v>
      </c>
    </row>
    <row r="28" spans="1:4" x14ac:dyDescent="0.35">
      <c r="A28" s="6">
        <v>2016</v>
      </c>
      <c r="B28" s="7">
        <v>1.251093</v>
      </c>
      <c r="C28" s="10">
        <f t="shared" si="0"/>
        <v>-0.52192566666666629</v>
      </c>
      <c r="D28" s="10">
        <f t="shared" si="1"/>
        <v>0.27240640152544404</v>
      </c>
    </row>
    <row r="29" spans="1:4" x14ac:dyDescent="0.35">
      <c r="A29" s="6">
        <v>2017</v>
      </c>
      <c r="B29" s="7">
        <v>1.4863010000000001</v>
      </c>
      <c r="C29" s="10">
        <f t="shared" si="0"/>
        <v>-0.2867176666666662</v>
      </c>
      <c r="D29" s="10">
        <f t="shared" si="1"/>
        <v>8.2207020378777515E-2</v>
      </c>
    </row>
    <row r="30" spans="1:4" x14ac:dyDescent="0.35">
      <c r="A30" s="6">
        <v>2018</v>
      </c>
      <c r="B30" s="7">
        <v>2.085753</v>
      </c>
      <c r="C30" s="10">
        <f t="shared" si="0"/>
        <v>0.31273433333333367</v>
      </c>
      <c r="D30" s="10">
        <f t="shared" si="1"/>
        <v>9.7802763245444652E-2</v>
      </c>
    </row>
    <row r="31" spans="1:4" x14ac:dyDescent="0.35">
      <c r="A31" s="6">
        <v>2019</v>
      </c>
      <c r="B31" s="7">
        <v>1.492877</v>
      </c>
      <c r="C31" s="10">
        <f t="shared" si="0"/>
        <v>-0.28014166666666629</v>
      </c>
      <c r="D31" s="10">
        <f t="shared" si="1"/>
        <v>7.8479353402777563E-2</v>
      </c>
    </row>
    <row r="32" spans="1:4" x14ac:dyDescent="0.35">
      <c r="A32" s="6">
        <v>2020</v>
      </c>
      <c r="B32" s="7">
        <v>2.1562839999999999</v>
      </c>
      <c r="C32" s="10">
        <f t="shared" si="0"/>
        <v>0.38326533333333357</v>
      </c>
      <c r="D32" s="10">
        <f t="shared" si="1"/>
        <v>0.1468923157351113</v>
      </c>
    </row>
    <row r="33" spans="1:4" x14ac:dyDescent="0.35">
      <c r="A33" s="6">
        <v>2021</v>
      </c>
      <c r="B33" s="7">
        <v>3.4339729999999999</v>
      </c>
      <c r="C33" s="10">
        <f t="shared" si="0"/>
        <v>1.6609543333333336</v>
      </c>
      <c r="D33" s="10">
        <f t="shared" si="1"/>
        <v>2.758769297418779</v>
      </c>
    </row>
    <row r="34" spans="1:4" x14ac:dyDescent="0.35">
      <c r="A34" s="6">
        <v>2022</v>
      </c>
      <c r="B34" s="7">
        <v>1.8592230000000001</v>
      </c>
      <c r="C34" s="10">
        <f t="shared" si="0"/>
        <v>8.6204333333333771E-2</v>
      </c>
      <c r="D34" s="10">
        <f t="shared" si="1"/>
        <v>7.4311870854445201E-3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524B-2E21-4EA1-8BD9-DD28A30A85CC}">
  <dimension ref="A1:E34"/>
  <sheetViews>
    <sheetView workbookViewId="0">
      <selection sqref="A1:E34"/>
    </sheetView>
  </sheetViews>
  <sheetFormatPr defaultRowHeight="14.5" x14ac:dyDescent="0.35"/>
  <cols>
    <col min="1" max="1" width="5.1796875" bestFit="1" customWidth="1"/>
    <col min="2" max="2" width="14.6328125" bestFit="1" customWidth="1"/>
    <col min="3" max="3" width="15.453125" bestFit="1" customWidth="1"/>
    <col min="4" max="4" width="15.36328125" bestFit="1" customWidth="1"/>
    <col min="5" max="5" width="17.6328125" bestFit="1" customWidth="1"/>
  </cols>
  <sheetData>
    <row r="1" spans="1:5" ht="15" thickBot="1" x14ac:dyDescent="0.4">
      <c r="A1" s="14" t="s">
        <v>12</v>
      </c>
      <c r="B1" s="15" t="s">
        <v>13</v>
      </c>
      <c r="C1" s="15" t="s">
        <v>14</v>
      </c>
      <c r="D1" s="15" t="s">
        <v>15</v>
      </c>
      <c r="E1" s="15" t="s">
        <v>16</v>
      </c>
    </row>
    <row r="2" spans="1:5" ht="15" thickBot="1" x14ac:dyDescent="0.4">
      <c r="A2" s="16">
        <v>1990</v>
      </c>
      <c r="B2" s="17">
        <v>28.689343999999998</v>
      </c>
      <c r="C2" s="17">
        <v>21.626918</v>
      </c>
      <c r="D2" s="17">
        <v>35.034474000000003</v>
      </c>
      <c r="E2" s="17">
        <v>0.73442600000000002</v>
      </c>
    </row>
    <row r="3" spans="1:5" ht="15" thickBot="1" x14ac:dyDescent="0.4">
      <c r="A3" s="16">
        <v>1991</v>
      </c>
      <c r="B3" s="17">
        <v>28.902341</v>
      </c>
      <c r="C3" s="17">
        <v>21.615227000000001</v>
      </c>
      <c r="D3" s="17">
        <v>35.648553</v>
      </c>
      <c r="E3" s="17">
        <v>0.33360699999999999</v>
      </c>
    </row>
    <row r="4" spans="1:5" ht="15" thickBot="1" x14ac:dyDescent="0.4">
      <c r="A4" s="16">
        <v>1992</v>
      </c>
      <c r="B4" s="17">
        <v>28.458341000000001</v>
      </c>
      <c r="C4" s="17">
        <v>20.001964999999998</v>
      </c>
      <c r="D4" s="17">
        <v>34.173817</v>
      </c>
      <c r="E4" s="17">
        <v>1.3450820000000001</v>
      </c>
    </row>
    <row r="5" spans="1:5" ht="15" thickBot="1" x14ac:dyDescent="0.4">
      <c r="A5" s="16">
        <v>1993</v>
      </c>
      <c r="B5" s="17">
        <v>29.000789999999999</v>
      </c>
      <c r="C5" s="17">
        <v>21.444047000000001</v>
      </c>
      <c r="D5" s="17">
        <v>35.596961999999998</v>
      </c>
      <c r="E5" s="17">
        <v>1.086066</v>
      </c>
    </row>
    <row r="6" spans="1:5" ht="15" thickBot="1" x14ac:dyDescent="0.4">
      <c r="A6" s="16">
        <v>1994</v>
      </c>
      <c r="B6" s="17">
        <v>29.352399999999999</v>
      </c>
      <c r="C6" s="17">
        <v>21.652611</v>
      </c>
      <c r="D6" s="17">
        <v>35.762053999999999</v>
      </c>
      <c r="E6" s="17">
        <v>2.1442619999999999</v>
      </c>
    </row>
    <row r="7" spans="1:5" ht="15" thickBot="1" x14ac:dyDescent="0.4">
      <c r="A7" s="16">
        <v>1995</v>
      </c>
      <c r="B7" s="17">
        <v>29.782758000000001</v>
      </c>
      <c r="C7" s="17">
        <v>22.240600000000001</v>
      </c>
      <c r="D7" s="17">
        <v>36.233221</v>
      </c>
      <c r="E7" s="17">
        <v>0.79508199999999996</v>
      </c>
    </row>
    <row r="8" spans="1:5" ht="15" thickBot="1" x14ac:dyDescent="0.4">
      <c r="A8" s="16">
        <v>1996</v>
      </c>
      <c r="B8" s="17">
        <v>29.065574000000002</v>
      </c>
      <c r="C8" s="17">
        <v>21.464171</v>
      </c>
      <c r="D8" s="17">
        <v>35.599227999999997</v>
      </c>
      <c r="E8" s="17">
        <v>1.122131</v>
      </c>
    </row>
    <row r="9" spans="1:5" ht="15" thickBot="1" x14ac:dyDescent="0.4">
      <c r="A9" s="16">
        <v>1997</v>
      </c>
      <c r="B9" s="17">
        <v>27.474589999999999</v>
      </c>
      <c r="C9" s="17">
        <v>20.477186</v>
      </c>
      <c r="D9" s="17">
        <v>34.084474</v>
      </c>
      <c r="E9" s="17">
        <v>0.65573800000000004</v>
      </c>
    </row>
    <row r="10" spans="1:5" ht="15" thickBot="1" x14ac:dyDescent="0.4">
      <c r="A10" s="16">
        <v>1998</v>
      </c>
      <c r="B10" s="17">
        <v>29.067212999999999</v>
      </c>
      <c r="C10" s="17">
        <v>21.420728</v>
      </c>
      <c r="D10" s="17">
        <v>35.768467000000001</v>
      </c>
      <c r="E10" s="17">
        <v>1.390984</v>
      </c>
    </row>
    <row r="11" spans="1:5" ht="15" thickBot="1" x14ac:dyDescent="0.4">
      <c r="A11" s="16">
        <v>1999</v>
      </c>
      <c r="B11" s="17">
        <v>29.613876000000001</v>
      </c>
      <c r="C11" s="17">
        <v>21.450051999999999</v>
      </c>
      <c r="D11" s="17">
        <v>36.364947000000001</v>
      </c>
      <c r="E11" s="17">
        <v>0.56885200000000002</v>
      </c>
    </row>
    <row r="12" spans="1:5" ht="15" thickBot="1" x14ac:dyDescent="0.4">
      <c r="A12" s="16">
        <v>2000</v>
      </c>
      <c r="B12" s="17">
        <v>29.399180000000001</v>
      </c>
      <c r="C12" s="17">
        <v>21.828925000000002</v>
      </c>
      <c r="D12" s="17">
        <v>35.894117000000001</v>
      </c>
      <c r="E12" s="17">
        <v>0.73852499999999999</v>
      </c>
    </row>
    <row r="13" spans="1:5" ht="15" thickBot="1" x14ac:dyDescent="0.4">
      <c r="A13" s="16">
        <v>2001</v>
      </c>
      <c r="B13" s="17">
        <v>28.188495</v>
      </c>
      <c r="C13" s="17">
        <v>20.962247999999999</v>
      </c>
      <c r="D13" s="17">
        <v>35.026662999999999</v>
      </c>
      <c r="E13" s="17">
        <v>1.34918</v>
      </c>
    </row>
    <row r="14" spans="1:5" ht="15" thickBot="1" x14ac:dyDescent="0.4">
      <c r="A14" s="16">
        <v>2002</v>
      </c>
      <c r="B14" s="17">
        <v>30.1</v>
      </c>
      <c r="C14" s="17">
        <v>22.471647999999998</v>
      </c>
      <c r="D14" s="17">
        <v>37.110173000000003</v>
      </c>
      <c r="E14" s="17">
        <v>1.120492</v>
      </c>
    </row>
    <row r="15" spans="1:5" ht="15" thickBot="1" x14ac:dyDescent="0.4">
      <c r="A15" s="16">
        <v>2003</v>
      </c>
      <c r="B15" s="17">
        <v>29.642623</v>
      </c>
      <c r="C15" s="17">
        <v>21.725193999999998</v>
      </c>
      <c r="D15" s="17">
        <v>36.624397000000002</v>
      </c>
      <c r="E15" s="17">
        <v>0.915574</v>
      </c>
    </row>
    <row r="16" spans="1:5" ht="15" thickBot="1" x14ac:dyDescent="0.4">
      <c r="A16" s="16">
        <v>2004</v>
      </c>
      <c r="B16" s="17">
        <v>29.954917999999999</v>
      </c>
      <c r="C16" s="17">
        <v>22.230028000000001</v>
      </c>
      <c r="D16" s="17">
        <v>36.822468999999998</v>
      </c>
      <c r="E16" s="17">
        <v>1.0901639999999999</v>
      </c>
    </row>
    <row r="17" spans="1:5" ht="15" thickBot="1" x14ac:dyDescent="0.4">
      <c r="A17" s="16">
        <v>2005</v>
      </c>
      <c r="B17" s="17">
        <v>29.618033</v>
      </c>
      <c r="C17" s="17">
        <v>22.122934999999998</v>
      </c>
      <c r="D17" s="17">
        <v>36.677579000000001</v>
      </c>
      <c r="E17" s="17">
        <v>0.76967200000000002</v>
      </c>
    </row>
    <row r="18" spans="1:5" ht="15" thickBot="1" x14ac:dyDescent="0.4">
      <c r="A18" s="16">
        <v>2006</v>
      </c>
      <c r="B18" s="17">
        <v>29.380327999999999</v>
      </c>
      <c r="C18" s="17">
        <v>20.855822</v>
      </c>
      <c r="D18" s="17">
        <v>36.201349999999998</v>
      </c>
      <c r="E18" s="17">
        <v>1.5967210000000001</v>
      </c>
    </row>
    <row r="19" spans="1:5" ht="15" thickBot="1" x14ac:dyDescent="0.4">
      <c r="A19" s="16">
        <v>2007</v>
      </c>
      <c r="B19" s="17">
        <v>29.277049000000002</v>
      </c>
      <c r="C19" s="17">
        <v>22.294415000000001</v>
      </c>
      <c r="D19" s="17">
        <v>35.808630999999998</v>
      </c>
      <c r="E19" s="17">
        <v>0.82459000000000005</v>
      </c>
    </row>
    <row r="20" spans="1:5" ht="15" thickBot="1" x14ac:dyDescent="0.4">
      <c r="A20" s="16">
        <v>2008</v>
      </c>
      <c r="B20" s="17">
        <v>28.619672000000001</v>
      </c>
      <c r="C20" s="17">
        <v>21.688409</v>
      </c>
      <c r="D20" s="17">
        <v>35.527048999999998</v>
      </c>
      <c r="E20" s="17">
        <v>2.0475409999999998</v>
      </c>
    </row>
    <row r="21" spans="1:5" ht="15" thickBot="1" x14ac:dyDescent="0.4">
      <c r="A21" s="16">
        <v>2009</v>
      </c>
      <c r="B21" s="17">
        <v>30.001639000000001</v>
      </c>
      <c r="C21" s="17">
        <v>22.369288000000001</v>
      </c>
      <c r="D21" s="17">
        <v>37.482498</v>
      </c>
      <c r="E21" s="17">
        <v>0.63278699999999999</v>
      </c>
    </row>
    <row r="22" spans="1:5" ht="15" thickBot="1" x14ac:dyDescent="0.4">
      <c r="A22" s="16">
        <v>2010</v>
      </c>
      <c r="B22" s="17">
        <v>31.715515</v>
      </c>
      <c r="C22" s="17">
        <v>24.233222999999999</v>
      </c>
      <c r="D22" s="17">
        <v>38.778303000000001</v>
      </c>
      <c r="E22" s="17">
        <v>5.5738000000000003E-2</v>
      </c>
    </row>
    <row r="23" spans="1:5" ht="15" thickBot="1" x14ac:dyDescent="0.4">
      <c r="A23" s="16">
        <v>2011</v>
      </c>
      <c r="B23" s="17">
        <v>29.081966999999999</v>
      </c>
      <c r="C23" s="17">
        <v>21.853346999999999</v>
      </c>
      <c r="D23" s="17">
        <v>35.829653</v>
      </c>
      <c r="E23" s="17">
        <v>0.92376999999999998</v>
      </c>
    </row>
    <row r="24" spans="1:5" ht="15" thickBot="1" x14ac:dyDescent="0.4">
      <c r="A24" s="16">
        <v>2012</v>
      </c>
      <c r="B24" s="17">
        <v>30.222131000000001</v>
      </c>
      <c r="C24" s="17">
        <v>22.552343</v>
      </c>
      <c r="D24" s="17">
        <v>37.667212999999997</v>
      </c>
      <c r="E24" s="17">
        <v>0.25573800000000002</v>
      </c>
    </row>
    <row r="25" spans="1:5" ht="15" thickBot="1" x14ac:dyDescent="0.4">
      <c r="A25" s="16">
        <v>2013</v>
      </c>
      <c r="B25" s="17">
        <v>29.607377</v>
      </c>
      <c r="C25" s="17">
        <v>21.937137</v>
      </c>
      <c r="D25" s="17">
        <v>37.107087999999997</v>
      </c>
      <c r="E25" s="17">
        <v>0.84098399999999995</v>
      </c>
    </row>
    <row r="26" spans="1:5" ht="15" thickBot="1" x14ac:dyDescent="0.4">
      <c r="A26" s="16">
        <v>2014</v>
      </c>
      <c r="B26" s="17">
        <v>29</v>
      </c>
      <c r="C26" s="17">
        <v>21.212178999999999</v>
      </c>
      <c r="D26" s="17">
        <v>36.190694000000001</v>
      </c>
      <c r="E26" s="17">
        <v>0.90081999999999995</v>
      </c>
    </row>
    <row r="27" spans="1:5" ht="15" thickBot="1" x14ac:dyDescent="0.4">
      <c r="A27" s="16">
        <v>2015</v>
      </c>
      <c r="B27" s="17">
        <v>28.904917999999999</v>
      </c>
      <c r="C27" s="17">
        <v>21.353062999999999</v>
      </c>
      <c r="D27" s="17">
        <v>35.949131999999999</v>
      </c>
      <c r="E27" s="17">
        <v>1.327869</v>
      </c>
    </row>
    <row r="28" spans="1:5" ht="15" thickBot="1" x14ac:dyDescent="0.4">
      <c r="A28" s="16">
        <v>2016</v>
      </c>
      <c r="B28" s="17">
        <v>31.936066</v>
      </c>
      <c r="C28" s="17">
        <v>23.809467999999999</v>
      </c>
      <c r="D28" s="17">
        <v>38.822854</v>
      </c>
      <c r="E28" s="17">
        <v>0.64672099999999999</v>
      </c>
    </row>
    <row r="29" spans="1:5" ht="15" thickBot="1" x14ac:dyDescent="0.4">
      <c r="A29" s="16">
        <v>2017</v>
      </c>
      <c r="B29" s="17">
        <v>30.810656000000002</v>
      </c>
      <c r="C29" s="17">
        <v>22.939979999999998</v>
      </c>
      <c r="D29" s="17">
        <v>38.331966999999999</v>
      </c>
      <c r="E29" s="17">
        <v>1.7795080000000001</v>
      </c>
    </row>
    <row r="30" spans="1:5" ht="15" thickBot="1" x14ac:dyDescent="0.4">
      <c r="A30" s="16">
        <v>2018</v>
      </c>
      <c r="B30" s="17">
        <v>30.350819999999999</v>
      </c>
      <c r="C30" s="17">
        <v>23.286334</v>
      </c>
      <c r="D30" s="17">
        <v>38.747444999999999</v>
      </c>
      <c r="E30" s="17">
        <v>0.46229500000000001</v>
      </c>
    </row>
    <row r="31" spans="1:5" ht="15" thickBot="1" x14ac:dyDescent="0.4">
      <c r="A31" s="16">
        <v>2019</v>
      </c>
      <c r="B31" s="17">
        <v>30.585246000000001</v>
      </c>
      <c r="C31" s="17">
        <v>21.851638999999999</v>
      </c>
      <c r="D31" s="17">
        <v>37.224589999999999</v>
      </c>
      <c r="E31" s="17">
        <v>0.47868899999999998</v>
      </c>
    </row>
    <row r="32" spans="1:5" ht="15" thickBot="1" x14ac:dyDescent="0.4">
      <c r="A32" s="16">
        <v>2020</v>
      </c>
      <c r="B32" s="17">
        <v>28.55</v>
      </c>
      <c r="C32" s="17">
        <v>21.364754000000001</v>
      </c>
      <c r="D32" s="17">
        <v>35.867213</v>
      </c>
      <c r="E32" s="17">
        <v>2.4852460000000001</v>
      </c>
    </row>
    <row r="33" spans="1:5" ht="15" thickBot="1" x14ac:dyDescent="0.4">
      <c r="A33" s="16">
        <v>2021</v>
      </c>
      <c r="B33" s="17">
        <v>29.295902000000002</v>
      </c>
      <c r="C33" s="17">
        <v>22.137705</v>
      </c>
      <c r="D33" s="17">
        <v>36.641803000000003</v>
      </c>
      <c r="E33" s="17">
        <v>1.581148</v>
      </c>
    </row>
    <row r="34" spans="1:5" ht="15" thickBot="1" x14ac:dyDescent="0.4">
      <c r="A34" s="16">
        <v>2022</v>
      </c>
      <c r="B34" s="17">
        <v>30.888525000000001</v>
      </c>
      <c r="C34" s="17">
        <v>24.135245999999999</v>
      </c>
      <c r="D34" s="17">
        <v>38.499180000000003</v>
      </c>
      <c r="E34" s="17">
        <v>0.45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6D1E-76C1-48D2-B005-5957F07055F9}">
  <dimension ref="A1:E34"/>
  <sheetViews>
    <sheetView workbookViewId="0">
      <selection activeCell="H4" sqref="H4"/>
    </sheetView>
  </sheetViews>
  <sheetFormatPr defaultRowHeight="14.5" x14ac:dyDescent="0.35"/>
  <cols>
    <col min="1" max="1" width="5.1796875" bestFit="1" customWidth="1"/>
    <col min="2" max="2" width="14.6328125" bestFit="1" customWidth="1"/>
    <col min="3" max="3" width="15.453125" bestFit="1" customWidth="1"/>
    <col min="4" max="4" width="15.36328125" bestFit="1" customWidth="1"/>
    <col min="5" max="5" width="17.6328125" bestFit="1" customWidth="1"/>
  </cols>
  <sheetData>
    <row r="1" spans="1:5" ht="15" thickBot="1" x14ac:dyDescent="0.4">
      <c r="A1" s="14" t="s">
        <v>12</v>
      </c>
      <c r="B1" s="15" t="s">
        <v>13</v>
      </c>
      <c r="C1" s="15" t="s">
        <v>14</v>
      </c>
      <c r="D1" s="15" t="s">
        <v>15</v>
      </c>
      <c r="E1" s="15" t="s">
        <v>16</v>
      </c>
    </row>
    <row r="2" spans="1:5" ht="15" thickBot="1" x14ac:dyDescent="0.4">
      <c r="A2" s="16">
        <v>1990</v>
      </c>
      <c r="B2" s="17">
        <v>30.446663000000001</v>
      </c>
      <c r="C2" s="17">
        <v>24.736101999999999</v>
      </c>
      <c r="D2" s="17">
        <v>35.029749000000002</v>
      </c>
      <c r="E2" s="17">
        <v>3.9877050000000001</v>
      </c>
    </row>
    <row r="3" spans="1:5" ht="15" thickBot="1" x14ac:dyDescent="0.4">
      <c r="A3" s="16">
        <v>1991</v>
      </c>
      <c r="B3" s="17">
        <v>30.993383999999999</v>
      </c>
      <c r="C3" s="17">
        <v>24.718889000000001</v>
      </c>
      <c r="D3" s="17">
        <v>35.641851000000003</v>
      </c>
      <c r="E3" s="17">
        <v>4.6336069999999996</v>
      </c>
    </row>
    <row r="4" spans="1:5" ht="15" thickBot="1" x14ac:dyDescent="0.4">
      <c r="A4" s="16">
        <v>1992</v>
      </c>
      <c r="B4" s="17">
        <v>29.151636</v>
      </c>
      <c r="C4" s="17">
        <v>21.79815</v>
      </c>
      <c r="D4" s="17">
        <v>34.119478000000001</v>
      </c>
      <c r="E4" s="17">
        <v>1.3532789999999999</v>
      </c>
    </row>
    <row r="5" spans="1:5" ht="15" thickBot="1" x14ac:dyDescent="0.4">
      <c r="A5" s="16">
        <v>1993</v>
      </c>
      <c r="B5" s="17">
        <v>30.720492</v>
      </c>
      <c r="C5" s="17">
        <v>24.915526</v>
      </c>
      <c r="D5" s="17">
        <v>35.032111999999998</v>
      </c>
      <c r="E5" s="17">
        <v>6.0754099999999998</v>
      </c>
    </row>
    <row r="6" spans="1:5" ht="15" thickBot="1" x14ac:dyDescent="0.4">
      <c r="A6" s="16">
        <v>1994</v>
      </c>
      <c r="B6" s="17">
        <v>30.341774000000001</v>
      </c>
      <c r="C6" s="17">
        <v>24.709069</v>
      </c>
      <c r="D6" s="17">
        <v>34.693828000000003</v>
      </c>
      <c r="E6" s="17">
        <v>6.1040979999999996</v>
      </c>
    </row>
    <row r="7" spans="1:5" ht="15" thickBot="1" x14ac:dyDescent="0.4">
      <c r="A7" s="16">
        <v>1995</v>
      </c>
      <c r="B7" s="17">
        <v>31.108197000000001</v>
      </c>
      <c r="C7" s="17">
        <v>25.230464000000001</v>
      </c>
      <c r="D7" s="17">
        <v>35.680762000000001</v>
      </c>
      <c r="E7" s="17">
        <v>5.6057379999999997</v>
      </c>
    </row>
    <row r="8" spans="1:5" ht="15" thickBot="1" x14ac:dyDescent="0.4">
      <c r="A8" s="16">
        <v>1996</v>
      </c>
      <c r="B8" s="17">
        <v>29.862295</v>
      </c>
      <c r="C8" s="17">
        <v>24.617349999999998</v>
      </c>
      <c r="D8" s="17">
        <v>34.281292000000001</v>
      </c>
      <c r="E8" s="17">
        <v>7.7713109999999999</v>
      </c>
    </row>
    <row r="9" spans="1:5" ht="15" thickBot="1" x14ac:dyDescent="0.4">
      <c r="A9" s="16">
        <v>1997</v>
      </c>
      <c r="B9" s="17">
        <v>30.172951000000001</v>
      </c>
      <c r="C9" s="17">
        <v>24.359052999999999</v>
      </c>
      <c r="D9" s="17">
        <v>34.720829000000002</v>
      </c>
      <c r="E9" s="17">
        <v>2.244262</v>
      </c>
    </row>
    <row r="10" spans="1:5" ht="15" thickBot="1" x14ac:dyDescent="0.4">
      <c r="A10" s="16">
        <v>1998</v>
      </c>
      <c r="B10" s="17">
        <v>30.672951000000001</v>
      </c>
      <c r="C10" s="17">
        <v>25.289664999999999</v>
      </c>
      <c r="D10" s="17">
        <v>35.034571</v>
      </c>
      <c r="E10" s="17">
        <v>5.9049180000000003</v>
      </c>
    </row>
    <row r="11" spans="1:5" ht="15" thickBot="1" x14ac:dyDescent="0.4">
      <c r="A11" s="16">
        <v>1999</v>
      </c>
      <c r="B11" s="17">
        <v>31.031148000000002</v>
      </c>
      <c r="C11" s="17">
        <v>24.992660000000001</v>
      </c>
      <c r="D11" s="17">
        <v>35.462777000000003</v>
      </c>
      <c r="E11" s="17">
        <v>1.7516389999999999</v>
      </c>
    </row>
    <row r="12" spans="1:5" ht="15" thickBot="1" x14ac:dyDescent="0.4">
      <c r="A12" s="16">
        <v>2000</v>
      </c>
      <c r="B12" s="17">
        <v>30.188524999999998</v>
      </c>
      <c r="C12" s="17">
        <v>24.312783</v>
      </c>
      <c r="D12" s="17">
        <v>34.752699999999997</v>
      </c>
      <c r="E12" s="17">
        <v>3.8229510000000002</v>
      </c>
    </row>
    <row r="13" spans="1:5" ht="15" thickBot="1" x14ac:dyDescent="0.4">
      <c r="A13" s="16">
        <v>2001</v>
      </c>
      <c r="B13" s="17">
        <v>30.453278999999998</v>
      </c>
      <c r="C13" s="17">
        <v>24.732104</v>
      </c>
      <c r="D13" s="17">
        <v>35.082545000000003</v>
      </c>
      <c r="E13" s="17">
        <v>2.3049179999999998</v>
      </c>
    </row>
    <row r="14" spans="1:5" ht="15" thickBot="1" x14ac:dyDescent="0.4">
      <c r="A14" s="16">
        <v>2002</v>
      </c>
      <c r="B14" s="17">
        <v>31.540984000000002</v>
      </c>
      <c r="C14" s="17">
        <v>26.005790000000001</v>
      </c>
      <c r="D14" s="17">
        <v>36.256171999999999</v>
      </c>
      <c r="E14" s="17">
        <v>2.4155739999999999</v>
      </c>
    </row>
    <row r="15" spans="1:5" ht="15" thickBot="1" x14ac:dyDescent="0.4">
      <c r="A15" s="16">
        <v>2003</v>
      </c>
      <c r="B15" s="17">
        <v>30.406556999999999</v>
      </c>
      <c r="C15" s="17">
        <v>24.786017999999999</v>
      </c>
      <c r="D15" s="17">
        <v>34.997348000000002</v>
      </c>
      <c r="E15" s="17">
        <v>7.255738</v>
      </c>
    </row>
    <row r="16" spans="1:5" ht="15" thickBot="1" x14ac:dyDescent="0.4">
      <c r="A16" s="16">
        <v>2004</v>
      </c>
      <c r="B16" s="17">
        <v>30.964753999999999</v>
      </c>
      <c r="C16" s="17">
        <v>25.352426999999999</v>
      </c>
      <c r="D16" s="17">
        <v>36.039875000000002</v>
      </c>
      <c r="E16" s="17">
        <v>2.759836</v>
      </c>
    </row>
    <row r="17" spans="1:5" ht="15" thickBot="1" x14ac:dyDescent="0.4">
      <c r="A17" s="16">
        <v>2005</v>
      </c>
      <c r="B17" s="17">
        <v>31.088525000000001</v>
      </c>
      <c r="C17" s="17">
        <v>25.837857</v>
      </c>
      <c r="D17" s="17">
        <v>36.040694000000002</v>
      </c>
      <c r="E17" s="17">
        <v>4.1196719999999996</v>
      </c>
    </row>
    <row r="18" spans="1:5" ht="15" thickBot="1" x14ac:dyDescent="0.4">
      <c r="A18" s="16">
        <v>2006</v>
      </c>
      <c r="B18" s="17">
        <v>30.702459000000001</v>
      </c>
      <c r="C18" s="17">
        <v>24.924842000000002</v>
      </c>
      <c r="D18" s="17">
        <v>35.680954999999997</v>
      </c>
      <c r="E18" s="17">
        <v>3.2827869999999999</v>
      </c>
    </row>
    <row r="19" spans="1:5" ht="15" thickBot="1" x14ac:dyDescent="0.4">
      <c r="A19" s="16">
        <v>2007</v>
      </c>
      <c r="B19" s="17">
        <v>30.986066000000001</v>
      </c>
      <c r="C19" s="17">
        <v>25.382655</v>
      </c>
      <c r="D19" s="17">
        <v>35.775939999999999</v>
      </c>
      <c r="E19" s="17">
        <v>2.8065570000000002</v>
      </c>
    </row>
    <row r="20" spans="1:5" ht="15" thickBot="1" x14ac:dyDescent="0.4">
      <c r="A20" s="16">
        <v>2008</v>
      </c>
      <c r="B20" s="17">
        <v>29.806557000000002</v>
      </c>
      <c r="C20" s="17">
        <v>24.732019999999999</v>
      </c>
      <c r="D20" s="17">
        <v>34.672854000000001</v>
      </c>
      <c r="E20" s="17">
        <v>4.8704919999999996</v>
      </c>
    </row>
    <row r="21" spans="1:5" ht="15" thickBot="1" x14ac:dyDescent="0.4">
      <c r="A21" s="16">
        <v>2009</v>
      </c>
      <c r="B21" s="17">
        <v>31.631967</v>
      </c>
      <c r="C21" s="17">
        <v>25.960172</v>
      </c>
      <c r="D21" s="17">
        <v>36.825747</v>
      </c>
      <c r="E21" s="17">
        <v>2.9598360000000001</v>
      </c>
    </row>
    <row r="22" spans="1:5" ht="15" thickBot="1" x14ac:dyDescent="0.4">
      <c r="A22" s="16">
        <v>2010</v>
      </c>
      <c r="B22" s="17">
        <v>30.708196999999998</v>
      </c>
      <c r="C22" s="17">
        <v>25.429561</v>
      </c>
      <c r="D22" s="17">
        <v>35.666201000000001</v>
      </c>
      <c r="E22" s="17">
        <v>6.9245900000000002</v>
      </c>
    </row>
    <row r="23" spans="1:5" ht="15" thickBot="1" x14ac:dyDescent="0.4">
      <c r="A23" s="16">
        <v>2011</v>
      </c>
      <c r="B23" s="17">
        <v>30.491803000000001</v>
      </c>
      <c r="C23" s="17">
        <v>25.370276</v>
      </c>
      <c r="D23" s="17">
        <v>35.400337</v>
      </c>
      <c r="E23" s="17">
        <v>3.7540979999999999</v>
      </c>
    </row>
    <row r="24" spans="1:5" ht="15" thickBot="1" x14ac:dyDescent="0.4">
      <c r="A24" s="16">
        <v>2012</v>
      </c>
      <c r="B24" s="17">
        <v>31.625409999999999</v>
      </c>
      <c r="C24" s="17">
        <v>26.015357999999999</v>
      </c>
      <c r="D24" s="17">
        <v>36.708823000000002</v>
      </c>
      <c r="E24" s="17">
        <v>4.1450820000000004</v>
      </c>
    </row>
    <row r="25" spans="1:5" ht="15" thickBot="1" x14ac:dyDescent="0.4">
      <c r="A25" s="16">
        <v>2013</v>
      </c>
      <c r="B25" s="17">
        <v>30.655737999999999</v>
      </c>
      <c r="C25" s="17">
        <v>25.280847999999999</v>
      </c>
      <c r="D25" s="17">
        <v>35.916201000000001</v>
      </c>
      <c r="E25" s="17">
        <v>6.3229509999999998</v>
      </c>
    </row>
    <row r="26" spans="1:5" ht="15" thickBot="1" x14ac:dyDescent="0.4">
      <c r="A26" s="16">
        <v>2014</v>
      </c>
      <c r="B26" s="17">
        <v>32.028689</v>
      </c>
      <c r="C26" s="17">
        <v>25.994330999999999</v>
      </c>
      <c r="D26" s="17">
        <v>37.739344000000003</v>
      </c>
      <c r="E26" s="17">
        <v>0.94836100000000001</v>
      </c>
    </row>
    <row r="27" spans="1:5" ht="15" thickBot="1" x14ac:dyDescent="0.4">
      <c r="A27" s="16">
        <v>2015</v>
      </c>
      <c r="B27" s="17">
        <v>31.014754</v>
      </c>
      <c r="C27" s="17">
        <v>25.217549000000002</v>
      </c>
      <c r="D27" s="17">
        <v>36.185293999999999</v>
      </c>
      <c r="E27" s="17">
        <v>4.781148</v>
      </c>
    </row>
    <row r="28" spans="1:5" ht="15" thickBot="1" x14ac:dyDescent="0.4">
      <c r="A28" s="16">
        <v>2016</v>
      </c>
      <c r="B28" s="17">
        <v>31.931967</v>
      </c>
      <c r="C28" s="17">
        <v>27.023769999999999</v>
      </c>
      <c r="D28" s="17">
        <v>36.926952999999997</v>
      </c>
      <c r="E28" s="17">
        <v>3.2918029999999998</v>
      </c>
    </row>
    <row r="29" spans="1:5" ht="15" thickBot="1" x14ac:dyDescent="0.4">
      <c r="A29" s="16">
        <v>2017</v>
      </c>
      <c r="B29" s="17">
        <v>31.447541000000001</v>
      </c>
      <c r="C29" s="17">
        <v>26.489612000000001</v>
      </c>
      <c r="D29" s="17">
        <v>36.721119000000002</v>
      </c>
      <c r="E29" s="17">
        <v>3.8073769999999998</v>
      </c>
    </row>
    <row r="30" spans="1:5" ht="15" thickBot="1" x14ac:dyDescent="0.4">
      <c r="A30" s="16">
        <v>2018</v>
      </c>
      <c r="B30" s="17">
        <v>31.072951</v>
      </c>
      <c r="C30" s="17">
        <v>27.001455</v>
      </c>
      <c r="D30" s="17">
        <v>36.267935999999999</v>
      </c>
      <c r="E30" s="17">
        <v>5.9418030000000002</v>
      </c>
    </row>
    <row r="31" spans="1:5" ht="15" thickBot="1" x14ac:dyDescent="0.4">
      <c r="A31" s="16">
        <v>2019</v>
      </c>
      <c r="B31" s="17">
        <v>32.330328000000002</v>
      </c>
      <c r="C31" s="17">
        <v>27.122131</v>
      </c>
      <c r="D31" s="17">
        <v>37.37377</v>
      </c>
      <c r="E31" s="17">
        <v>2.7663929999999999</v>
      </c>
    </row>
    <row r="32" spans="1:5" ht="15" thickBot="1" x14ac:dyDescent="0.4">
      <c r="A32" s="16">
        <v>2020</v>
      </c>
      <c r="B32" s="17">
        <v>31.874590000000001</v>
      </c>
      <c r="C32" s="17">
        <v>26.411474999999999</v>
      </c>
      <c r="D32" s="17">
        <v>36.920492000000003</v>
      </c>
      <c r="E32" s="17">
        <v>4.1557380000000004</v>
      </c>
    </row>
    <row r="33" spans="1:5" ht="15" thickBot="1" x14ac:dyDescent="0.4">
      <c r="A33" s="16">
        <v>2021</v>
      </c>
      <c r="B33" s="17">
        <v>31.060656000000002</v>
      </c>
      <c r="C33" s="17">
        <v>26.670491999999999</v>
      </c>
      <c r="D33" s="17">
        <v>35.942622999999998</v>
      </c>
      <c r="E33" s="17">
        <v>7.1754100000000003</v>
      </c>
    </row>
    <row r="34" spans="1:5" ht="15" thickBot="1" x14ac:dyDescent="0.4">
      <c r="A34" s="16">
        <v>2022</v>
      </c>
      <c r="B34" s="17">
        <v>32.683636</v>
      </c>
      <c r="C34" s="17">
        <v>28.043635999999999</v>
      </c>
      <c r="D34" s="17">
        <v>38.06</v>
      </c>
      <c r="E34" s="17">
        <v>4.3018179999999999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EDB3-6538-4FAA-9CF4-8957A1873BD7}">
  <dimension ref="A1:E34"/>
  <sheetViews>
    <sheetView workbookViewId="0">
      <selection activeCell="G5" sqref="G5"/>
    </sheetView>
  </sheetViews>
  <sheetFormatPr defaultRowHeight="14.5" x14ac:dyDescent="0.35"/>
  <cols>
    <col min="1" max="1" width="5.1796875" bestFit="1" customWidth="1"/>
    <col min="2" max="2" width="14.6328125" bestFit="1" customWidth="1"/>
    <col min="3" max="3" width="15.453125" bestFit="1" customWidth="1"/>
    <col min="4" max="4" width="15.36328125" bestFit="1" customWidth="1"/>
    <col min="5" max="5" width="17.6328125" bestFit="1" customWidth="1"/>
  </cols>
  <sheetData>
    <row r="1" spans="1:5" ht="15" thickBot="1" x14ac:dyDescent="0.4">
      <c r="A1" s="14" t="s">
        <v>12</v>
      </c>
      <c r="B1" s="15" t="s">
        <v>13</v>
      </c>
      <c r="C1" s="15" t="s">
        <v>14</v>
      </c>
      <c r="D1" s="15" t="s">
        <v>15</v>
      </c>
      <c r="E1" s="15" t="s">
        <v>16</v>
      </c>
    </row>
    <row r="2" spans="1:5" ht="15" thickBot="1" x14ac:dyDescent="0.4">
      <c r="A2" s="16">
        <v>1990</v>
      </c>
      <c r="B2" s="17">
        <v>16.158650000000002</v>
      </c>
      <c r="C2" s="17">
        <v>12.664993000000001</v>
      </c>
      <c r="D2" s="17">
        <v>24.484313</v>
      </c>
      <c r="E2" s="17">
        <v>1.4911110000000001</v>
      </c>
    </row>
    <row r="3" spans="1:5" ht="15" thickBot="1" x14ac:dyDescent="0.4">
      <c r="A3" s="16">
        <v>1991</v>
      </c>
      <c r="B3" s="17">
        <v>15.41869</v>
      </c>
      <c r="C3" s="17">
        <v>12.422385999999999</v>
      </c>
      <c r="D3" s="17">
        <v>25.036731</v>
      </c>
      <c r="E3" s="17">
        <v>0.157778</v>
      </c>
    </row>
    <row r="4" spans="1:5" ht="15" thickBot="1" x14ac:dyDescent="0.4">
      <c r="A4" s="16">
        <v>1992</v>
      </c>
      <c r="B4" s="17">
        <v>16.117266999999998</v>
      </c>
      <c r="C4" s="17">
        <v>11.91263</v>
      </c>
      <c r="D4" s="17">
        <v>25.064059</v>
      </c>
      <c r="E4" s="17">
        <v>8.1319000000000002E-2</v>
      </c>
    </row>
    <row r="5" spans="1:5" ht="15" thickBot="1" x14ac:dyDescent="0.4">
      <c r="A5" s="16">
        <v>1993</v>
      </c>
      <c r="B5" s="17">
        <v>15.743294000000001</v>
      </c>
      <c r="C5" s="17">
        <v>10.090591</v>
      </c>
      <c r="D5" s="17">
        <v>23.956012999999999</v>
      </c>
      <c r="E5" s="17">
        <v>0.276667</v>
      </c>
    </row>
    <row r="6" spans="1:5" ht="15" thickBot="1" x14ac:dyDescent="0.4">
      <c r="A6" s="16">
        <v>1994</v>
      </c>
      <c r="B6" s="17">
        <v>15.657778</v>
      </c>
      <c r="C6" s="17">
        <v>11.125263</v>
      </c>
      <c r="D6" s="17">
        <v>23.355032999999999</v>
      </c>
      <c r="E6" s="17">
        <v>0.39</v>
      </c>
    </row>
    <row r="7" spans="1:5" ht="15" thickBot="1" x14ac:dyDescent="0.4">
      <c r="A7" s="16">
        <v>1995</v>
      </c>
      <c r="B7" s="17">
        <v>15.017778</v>
      </c>
      <c r="C7" s="17">
        <v>10.027258</v>
      </c>
      <c r="D7" s="17">
        <v>22.107516</v>
      </c>
      <c r="E7" s="17">
        <v>1.131111</v>
      </c>
    </row>
    <row r="8" spans="1:5" ht="15" thickBot="1" x14ac:dyDescent="0.4">
      <c r="A8" s="16">
        <v>1996</v>
      </c>
      <c r="B8" s="17">
        <v>14.636264000000001</v>
      </c>
      <c r="C8" s="17">
        <v>8.9843480000000007</v>
      </c>
      <c r="D8" s="17">
        <v>23.183969000000001</v>
      </c>
      <c r="E8" s="17">
        <v>0.31538500000000003</v>
      </c>
    </row>
    <row r="9" spans="1:5" ht="15" thickBot="1" x14ac:dyDescent="0.4">
      <c r="A9" s="16">
        <v>1997</v>
      </c>
      <c r="B9" s="17">
        <v>13.692221999999999</v>
      </c>
      <c r="C9" s="17">
        <v>9.0845369999999992</v>
      </c>
      <c r="D9" s="17">
        <v>21.409215</v>
      </c>
      <c r="E9" s="17">
        <v>0.80666700000000002</v>
      </c>
    </row>
    <row r="10" spans="1:5" ht="15" thickBot="1" x14ac:dyDescent="0.4">
      <c r="A10" s="16">
        <v>1998</v>
      </c>
      <c r="B10" s="17">
        <v>14.354444000000001</v>
      </c>
      <c r="C10" s="17">
        <v>10.099095</v>
      </c>
      <c r="D10" s="17">
        <v>22.710326999999999</v>
      </c>
      <c r="E10" s="17">
        <v>0.14888899999999999</v>
      </c>
    </row>
    <row r="11" spans="1:5" ht="15" thickBot="1" x14ac:dyDescent="0.4">
      <c r="A11" s="16">
        <v>1999</v>
      </c>
      <c r="B11" s="17">
        <v>14.611071000000001</v>
      </c>
      <c r="C11" s="17">
        <v>10.933040999999999</v>
      </c>
      <c r="D11" s="17">
        <v>23.488299999999999</v>
      </c>
      <c r="E11" s="17">
        <v>0.65888899999999995</v>
      </c>
    </row>
    <row r="12" spans="1:5" ht="15" thickBot="1" x14ac:dyDescent="0.4">
      <c r="A12" s="16">
        <v>2000</v>
      </c>
      <c r="B12" s="17">
        <v>14.397802</v>
      </c>
      <c r="C12" s="17">
        <v>9.9144900000000007</v>
      </c>
      <c r="D12" s="17">
        <v>22.421719</v>
      </c>
      <c r="E12" s="17">
        <v>0.725275</v>
      </c>
    </row>
    <row r="13" spans="1:5" ht="15" thickBot="1" x14ac:dyDescent="0.4">
      <c r="A13" s="16">
        <v>2001</v>
      </c>
      <c r="B13" s="17">
        <v>14.73</v>
      </c>
      <c r="C13" s="17">
        <v>10.067372000000001</v>
      </c>
      <c r="D13" s="17">
        <v>22.727778000000001</v>
      </c>
      <c r="E13" s="17">
        <v>0.188889</v>
      </c>
    </row>
    <row r="14" spans="1:5" ht="15" thickBot="1" x14ac:dyDescent="0.4">
      <c r="A14" s="16">
        <v>2002</v>
      </c>
      <c r="B14" s="17">
        <v>14.925556</v>
      </c>
      <c r="C14" s="17">
        <v>9.8781199999999991</v>
      </c>
      <c r="D14" s="17">
        <v>23.329346000000001</v>
      </c>
      <c r="E14" s="17">
        <v>1.128889</v>
      </c>
    </row>
    <row r="15" spans="1:5" ht="15" thickBot="1" x14ac:dyDescent="0.4">
      <c r="A15" s="16">
        <v>2003</v>
      </c>
      <c r="B15" s="17">
        <v>14.05</v>
      </c>
      <c r="C15" s="17">
        <v>10.97329</v>
      </c>
      <c r="D15" s="17">
        <v>20.848627</v>
      </c>
      <c r="E15" s="17">
        <v>0.71222200000000002</v>
      </c>
    </row>
    <row r="16" spans="1:5" ht="15" thickBot="1" x14ac:dyDescent="0.4">
      <c r="A16" s="16">
        <v>2004</v>
      </c>
      <c r="B16" s="17">
        <v>15.312087999999999</v>
      </c>
      <c r="C16" s="17">
        <v>10.54149</v>
      </c>
      <c r="D16" s="17">
        <v>22.453717000000001</v>
      </c>
      <c r="E16" s="17">
        <v>0.187912</v>
      </c>
    </row>
    <row r="17" spans="1:5" ht="15" thickBot="1" x14ac:dyDescent="0.4">
      <c r="A17" s="16">
        <v>2005</v>
      </c>
      <c r="B17" s="17">
        <v>14.346667</v>
      </c>
      <c r="C17" s="17">
        <v>8.6620869999999996</v>
      </c>
      <c r="D17" s="17">
        <v>22.229738000000001</v>
      </c>
      <c r="E17" s="17">
        <v>0.51222199999999996</v>
      </c>
    </row>
    <row r="18" spans="1:5" ht="15" thickBot="1" x14ac:dyDescent="0.4">
      <c r="A18" s="16">
        <v>2006</v>
      </c>
      <c r="B18" s="17">
        <v>16.601111</v>
      </c>
      <c r="C18" s="17">
        <v>11.147258000000001</v>
      </c>
      <c r="D18" s="17">
        <v>25.054182999999998</v>
      </c>
      <c r="E18" s="17">
        <v>8.8889999999999993E-3</v>
      </c>
    </row>
    <row r="19" spans="1:5" ht="15" thickBot="1" x14ac:dyDescent="0.4">
      <c r="A19" s="16">
        <v>2007</v>
      </c>
      <c r="B19" s="17">
        <v>15.021110999999999</v>
      </c>
      <c r="C19" s="17">
        <v>10.349345</v>
      </c>
      <c r="D19" s="17">
        <v>22.888757999999999</v>
      </c>
      <c r="E19" s="17">
        <v>0.84444399999999997</v>
      </c>
    </row>
    <row r="20" spans="1:5" ht="15" thickBot="1" x14ac:dyDescent="0.4">
      <c r="A20" s="16">
        <v>2008</v>
      </c>
      <c r="B20" s="17">
        <v>14.953846</v>
      </c>
      <c r="C20" s="17">
        <v>10.021083000000001</v>
      </c>
      <c r="D20" s="17">
        <v>23.176663999999999</v>
      </c>
      <c r="E20" s="17">
        <v>5.4945000000000001E-2</v>
      </c>
    </row>
    <row r="21" spans="1:5" ht="15" thickBot="1" x14ac:dyDescent="0.4">
      <c r="A21" s="16">
        <v>2009</v>
      </c>
      <c r="B21" s="17">
        <v>15.918889</v>
      </c>
      <c r="C21" s="17">
        <v>10.438255</v>
      </c>
      <c r="D21" s="17">
        <v>24.078758000000001</v>
      </c>
      <c r="E21" s="17">
        <v>0.155556</v>
      </c>
    </row>
    <row r="22" spans="1:5" ht="15" thickBot="1" x14ac:dyDescent="0.4">
      <c r="A22" s="16">
        <v>2010</v>
      </c>
      <c r="B22" s="17">
        <v>14.892222</v>
      </c>
      <c r="C22" s="17">
        <v>10.092200999999999</v>
      </c>
      <c r="D22" s="17">
        <v>22.677385999999998</v>
      </c>
      <c r="E22" s="17">
        <v>0.28999999999999998</v>
      </c>
    </row>
    <row r="23" spans="1:5" ht="15" thickBot="1" x14ac:dyDescent="0.4">
      <c r="A23" s="16">
        <v>2011</v>
      </c>
      <c r="B23" s="17">
        <v>14.564444</v>
      </c>
      <c r="C23" s="17">
        <v>9.1249219999999998</v>
      </c>
      <c r="D23" s="17">
        <v>22.974314</v>
      </c>
      <c r="E23" s="17">
        <v>0.44888899999999998</v>
      </c>
    </row>
    <row r="24" spans="1:5" ht="15" thickBot="1" x14ac:dyDescent="0.4">
      <c r="A24" s="16">
        <v>2012</v>
      </c>
      <c r="B24" s="17">
        <v>14.597802</v>
      </c>
      <c r="C24" s="17">
        <v>10.245146</v>
      </c>
      <c r="D24" s="17">
        <v>22.450548999999999</v>
      </c>
      <c r="E24" s="17">
        <v>0.20988999999999999</v>
      </c>
    </row>
    <row r="25" spans="1:5" ht="15" thickBot="1" x14ac:dyDescent="0.4">
      <c r="A25" s="16">
        <v>2013</v>
      </c>
      <c r="B25" s="17">
        <v>14.638889000000001</v>
      </c>
      <c r="C25" s="17">
        <v>9.3180060000000005</v>
      </c>
      <c r="D25" s="17">
        <v>22.119869000000001</v>
      </c>
      <c r="E25" s="17">
        <v>1.615556</v>
      </c>
    </row>
    <row r="26" spans="1:5" ht="15" thickBot="1" x14ac:dyDescent="0.4">
      <c r="A26" s="16">
        <v>2014</v>
      </c>
      <c r="B26" s="17">
        <v>14.296666999999999</v>
      </c>
      <c r="C26" s="17">
        <v>9.7528129999999997</v>
      </c>
      <c r="D26" s="17">
        <v>22.042090999999999</v>
      </c>
      <c r="E26" s="17">
        <v>0.72666699999999995</v>
      </c>
    </row>
    <row r="27" spans="1:5" ht="15" thickBot="1" x14ac:dyDescent="0.4">
      <c r="A27" s="16">
        <v>2015</v>
      </c>
      <c r="B27" s="17">
        <v>15.801111000000001</v>
      </c>
      <c r="C27" s="17">
        <v>10.271338999999999</v>
      </c>
      <c r="D27" s="17">
        <v>22.908888999999999</v>
      </c>
      <c r="E27" s="17">
        <v>0.29555599999999999</v>
      </c>
    </row>
    <row r="28" spans="1:5" ht="15" thickBot="1" x14ac:dyDescent="0.4">
      <c r="A28" s="16">
        <v>2016</v>
      </c>
      <c r="B28" s="17">
        <v>17.196702999999999</v>
      </c>
      <c r="C28" s="17">
        <v>9.9492039999999999</v>
      </c>
      <c r="D28" s="17">
        <v>24.741758000000001</v>
      </c>
      <c r="E28" s="17">
        <v>1.4286E-2</v>
      </c>
    </row>
    <row r="29" spans="1:5" ht="15" thickBot="1" x14ac:dyDescent="0.4">
      <c r="A29" s="16">
        <v>2017</v>
      </c>
      <c r="B29" s="17">
        <v>16.671111</v>
      </c>
      <c r="C29" s="17">
        <v>9.69</v>
      </c>
      <c r="D29" s="17">
        <v>24.374444</v>
      </c>
      <c r="E29" s="17">
        <v>0.45777800000000002</v>
      </c>
    </row>
    <row r="30" spans="1:5" ht="15" thickBot="1" x14ac:dyDescent="0.4">
      <c r="A30" s="16">
        <v>2018</v>
      </c>
      <c r="B30" s="17">
        <v>15.487778</v>
      </c>
      <c r="C30" s="17">
        <v>8.2055559999999996</v>
      </c>
      <c r="D30" s="17">
        <v>24.207778000000001</v>
      </c>
      <c r="E30" s="17">
        <v>6.2222E-2</v>
      </c>
    </row>
    <row r="31" spans="1:5" ht="15" thickBot="1" x14ac:dyDescent="0.4">
      <c r="A31" s="16">
        <v>2019</v>
      </c>
      <c r="B31" s="17">
        <v>14.217777999999999</v>
      </c>
      <c r="C31" s="17">
        <v>8.2644439999999992</v>
      </c>
      <c r="D31" s="17">
        <v>21.438889</v>
      </c>
      <c r="E31" s="17">
        <v>1.2344440000000001</v>
      </c>
    </row>
    <row r="32" spans="1:5" ht="15" thickBot="1" x14ac:dyDescent="0.4">
      <c r="A32" s="16">
        <v>2020</v>
      </c>
      <c r="B32" s="17">
        <v>14.785714</v>
      </c>
      <c r="C32" s="17">
        <v>8.2626369999999998</v>
      </c>
      <c r="D32" s="17">
        <v>22.875824000000001</v>
      </c>
      <c r="E32" s="17">
        <v>0.42967</v>
      </c>
    </row>
    <row r="33" spans="1:5" ht="15" thickBot="1" x14ac:dyDescent="0.4">
      <c r="A33" s="16">
        <v>2021</v>
      </c>
      <c r="B33" s="17">
        <v>15.44</v>
      </c>
      <c r="C33" s="17">
        <v>8.8577779999999997</v>
      </c>
      <c r="D33" s="17">
        <v>23.308889000000001</v>
      </c>
      <c r="E33" s="17">
        <v>1.36</v>
      </c>
    </row>
    <row r="34" spans="1:5" ht="15" thickBot="1" x14ac:dyDescent="0.4">
      <c r="A34" s="16">
        <v>2022</v>
      </c>
      <c r="B34" s="17">
        <v>14.674576</v>
      </c>
      <c r="C34" s="17">
        <v>9.5542370000000005</v>
      </c>
      <c r="D34" s="17">
        <v>21.411864000000001</v>
      </c>
      <c r="E34" s="17">
        <v>1.9898309999999999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89F0-7986-4A84-885B-C7379D2EEE97}">
  <dimension ref="A1:E4"/>
  <sheetViews>
    <sheetView tabSelected="1" workbookViewId="0">
      <selection activeCell="G10" sqref="G10"/>
    </sheetView>
  </sheetViews>
  <sheetFormatPr defaultRowHeight="14.5" x14ac:dyDescent="0.35"/>
  <cols>
    <col min="1" max="1" width="14" bestFit="1" customWidth="1"/>
  </cols>
  <sheetData>
    <row r="1" spans="1:5" x14ac:dyDescent="0.35">
      <c r="A1" s="19" t="s">
        <v>22</v>
      </c>
      <c r="B1" s="19" t="s">
        <v>17</v>
      </c>
      <c r="C1" s="19" t="s">
        <v>18</v>
      </c>
      <c r="D1" s="19" t="s">
        <v>19</v>
      </c>
      <c r="E1" s="19" t="s">
        <v>20</v>
      </c>
    </row>
    <row r="2" spans="1:5" x14ac:dyDescent="0.35">
      <c r="A2" s="19" t="s">
        <v>21</v>
      </c>
      <c r="B2" s="18">
        <v>0.37</v>
      </c>
      <c r="C2" s="18">
        <v>0.39</v>
      </c>
      <c r="D2" s="18">
        <v>0.23</v>
      </c>
      <c r="E2" s="18">
        <v>0.48</v>
      </c>
    </row>
    <row r="3" spans="1:5" x14ac:dyDescent="0.35">
      <c r="A3" s="19" t="s">
        <v>15</v>
      </c>
      <c r="B3" s="18">
        <v>0.44</v>
      </c>
      <c r="C3" s="18">
        <v>0.42</v>
      </c>
      <c r="D3" s="18">
        <v>0.28000000000000003</v>
      </c>
      <c r="E3" s="18">
        <v>0.53</v>
      </c>
    </row>
    <row r="4" spans="1:5" x14ac:dyDescent="0.35">
      <c r="A4" s="19" t="s">
        <v>14</v>
      </c>
      <c r="B4" s="18">
        <v>0.18</v>
      </c>
      <c r="C4" s="18">
        <v>0.36</v>
      </c>
      <c r="D4" s="18">
        <v>0.23</v>
      </c>
      <c r="E4" s="18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TMEAN SD</vt:lpstr>
      <vt:lpstr>TX MEAN SD</vt:lpstr>
      <vt:lpstr>TN MEAN SD</vt:lpstr>
      <vt:lpstr>PRCP MEAN SD</vt:lpstr>
      <vt:lpstr>Summer</vt:lpstr>
      <vt:lpstr>Monsoon</vt:lpstr>
      <vt:lpstr>Winter</vt:lpstr>
      <vt:lpstr>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Riyon Das</dc:creator>
  <cp:lastModifiedBy>Riyon Das</cp:lastModifiedBy>
  <dcterms:created xsi:type="dcterms:W3CDTF">2025-10-23T09:27:37Z</dcterms:created>
  <dcterms:modified xsi:type="dcterms:W3CDTF">2025-11-16T13:20:26Z</dcterms:modified>
</cp:coreProperties>
</file>